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o\OneDrive - UT Cloud\Desktop\JenaExperiment_SP05\02_JenaExcursion\2025\Statistical Analysis Example\"/>
    </mc:Choice>
  </mc:AlternateContent>
  <xr:revisionPtr revIDLastSave="0" documentId="13_ncr:1_{A22D60C6-3576-4AC6-8C9F-620AB8A29E50}" xr6:coauthVersionLast="47" xr6:coauthVersionMax="47" xr10:uidLastSave="{00000000-0000-0000-0000-000000000000}"/>
  <bookViews>
    <workbookView xWindow="-108" yWindow="-108" windowWidth="23256" windowHeight="12456" activeTab="2" xr2:uid="{83F8510B-A33D-40EC-AA8E-183D347CDD65}"/>
  </bookViews>
  <sheets>
    <sheet name="SWC" sheetId="1" r:id="rId1"/>
    <sheet name="Concentrations" sheetId="2" r:id="rId2"/>
    <sheet name="Nmin_Div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Q3" i="3"/>
  <c r="R3" i="3"/>
  <c r="P4" i="3"/>
  <c r="Q4" i="3"/>
  <c r="R4" i="3"/>
  <c r="P5" i="3"/>
  <c r="Q5" i="3"/>
  <c r="R5" i="3"/>
  <c r="P6" i="3"/>
  <c r="Q6" i="3"/>
  <c r="R6" i="3"/>
  <c r="P7" i="3"/>
  <c r="Q7" i="3"/>
  <c r="R7" i="3"/>
  <c r="P8" i="3"/>
  <c r="Q8" i="3"/>
  <c r="R8" i="3"/>
  <c r="P9" i="3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P19" i="3"/>
  <c r="Q19" i="3"/>
  <c r="R19" i="3"/>
  <c r="P20" i="3"/>
  <c r="Q20" i="3"/>
  <c r="R20" i="3"/>
  <c r="P21" i="3"/>
  <c r="Q21" i="3"/>
  <c r="R21" i="3"/>
  <c r="P22" i="3"/>
  <c r="Q22" i="3"/>
  <c r="R22" i="3"/>
  <c r="P23" i="3"/>
  <c r="Q23" i="3"/>
  <c r="R23" i="3"/>
  <c r="P24" i="3"/>
  <c r="Q24" i="3"/>
  <c r="R24" i="3"/>
  <c r="P25" i="3"/>
  <c r="Q25" i="3"/>
  <c r="R25" i="3"/>
  <c r="P26" i="3"/>
  <c r="Q26" i="3"/>
  <c r="R26" i="3"/>
  <c r="P27" i="3"/>
  <c r="Q27" i="3"/>
  <c r="R27" i="3"/>
  <c r="P28" i="3"/>
  <c r="Q28" i="3"/>
  <c r="R28" i="3"/>
  <c r="P29" i="3"/>
  <c r="Q29" i="3"/>
  <c r="R29" i="3"/>
  <c r="P30" i="3"/>
  <c r="Q30" i="3"/>
  <c r="R30" i="3"/>
  <c r="P31" i="3"/>
  <c r="Q31" i="3"/>
  <c r="R31" i="3"/>
  <c r="P32" i="3"/>
  <c r="Q32" i="3"/>
  <c r="R32" i="3"/>
  <c r="P33" i="3"/>
  <c r="Q33" i="3"/>
  <c r="R33" i="3"/>
  <c r="P34" i="3"/>
  <c r="Q34" i="3"/>
  <c r="R34" i="3"/>
  <c r="P35" i="3"/>
  <c r="Q35" i="3"/>
  <c r="R35" i="3"/>
  <c r="P36" i="3"/>
  <c r="Q36" i="3"/>
  <c r="R36" i="3"/>
  <c r="P37" i="3"/>
  <c r="Q37" i="3"/>
  <c r="R37" i="3"/>
  <c r="P38" i="3"/>
  <c r="Q38" i="3"/>
  <c r="R38" i="3"/>
  <c r="P39" i="3"/>
  <c r="Q39" i="3"/>
  <c r="R39" i="3"/>
  <c r="P40" i="3"/>
  <c r="Q40" i="3"/>
  <c r="R40" i="3"/>
  <c r="P41" i="3"/>
  <c r="Q41" i="3"/>
  <c r="R41" i="3"/>
  <c r="P42" i="3"/>
  <c r="Q42" i="3"/>
  <c r="R42" i="3"/>
  <c r="P43" i="3"/>
  <c r="Q43" i="3"/>
  <c r="R43" i="3"/>
  <c r="P44" i="3"/>
  <c r="Q44" i="3"/>
  <c r="R44" i="3"/>
  <c r="P45" i="3"/>
  <c r="Q45" i="3"/>
  <c r="R45" i="3"/>
  <c r="P46" i="3"/>
  <c r="Q46" i="3"/>
  <c r="R46" i="3"/>
  <c r="P47" i="3"/>
  <c r="Q47" i="3"/>
  <c r="R47" i="3"/>
  <c r="P48" i="3"/>
  <c r="Q48" i="3"/>
  <c r="R48" i="3"/>
  <c r="P49" i="3"/>
  <c r="Q49" i="3"/>
  <c r="R49" i="3"/>
  <c r="P50" i="3"/>
  <c r="Q50" i="3"/>
  <c r="R50" i="3"/>
  <c r="P51" i="3"/>
  <c r="Q51" i="3"/>
  <c r="R51" i="3"/>
  <c r="P52" i="3"/>
  <c r="Q52" i="3"/>
  <c r="R52" i="3"/>
  <c r="P53" i="3"/>
  <c r="Q53" i="3"/>
  <c r="R53" i="3"/>
  <c r="P54" i="3"/>
  <c r="Q54" i="3"/>
  <c r="R54" i="3"/>
  <c r="P55" i="3"/>
  <c r="Q55" i="3"/>
  <c r="R55" i="3"/>
  <c r="P56" i="3"/>
  <c r="Q56" i="3"/>
  <c r="R56" i="3"/>
  <c r="P57" i="3"/>
  <c r="Q57" i="3"/>
  <c r="R57" i="3"/>
  <c r="P58" i="3"/>
  <c r="Q58" i="3"/>
  <c r="R58" i="3"/>
  <c r="P59" i="3"/>
  <c r="Q59" i="3"/>
  <c r="R59" i="3"/>
  <c r="P60" i="3"/>
  <c r="Q60" i="3"/>
  <c r="R60" i="3"/>
  <c r="P61" i="3"/>
  <c r="Q61" i="3"/>
  <c r="R61" i="3"/>
  <c r="P62" i="3"/>
  <c r="Q62" i="3"/>
  <c r="R62" i="3"/>
  <c r="P63" i="3"/>
  <c r="Q63" i="3"/>
  <c r="R63" i="3"/>
  <c r="P64" i="3"/>
  <c r="Q64" i="3"/>
  <c r="R64" i="3"/>
  <c r="P65" i="3"/>
  <c r="Q65" i="3"/>
  <c r="R65" i="3"/>
  <c r="P66" i="3"/>
  <c r="Q66" i="3"/>
  <c r="R66" i="3"/>
  <c r="P67" i="3"/>
  <c r="Q67" i="3"/>
  <c r="R67" i="3"/>
  <c r="P68" i="3"/>
  <c r="Q68" i="3"/>
  <c r="R68" i="3"/>
  <c r="P69" i="3"/>
  <c r="Q69" i="3"/>
  <c r="R69" i="3"/>
  <c r="P70" i="3"/>
  <c r="Q70" i="3"/>
  <c r="R70" i="3"/>
  <c r="P71" i="3"/>
  <c r="Q71" i="3"/>
  <c r="R71" i="3"/>
  <c r="P72" i="3"/>
  <c r="Q72" i="3"/>
  <c r="R72" i="3"/>
  <c r="P73" i="3"/>
  <c r="Q73" i="3"/>
  <c r="R73" i="3"/>
  <c r="P74" i="3"/>
  <c r="Q74" i="3"/>
  <c r="R74" i="3"/>
  <c r="P75" i="3"/>
  <c r="Q75" i="3"/>
  <c r="R75" i="3"/>
  <c r="P76" i="3"/>
  <c r="Q76" i="3"/>
  <c r="R76" i="3"/>
  <c r="P77" i="3"/>
  <c r="Q77" i="3"/>
  <c r="R77" i="3"/>
  <c r="P78" i="3"/>
  <c r="Q78" i="3"/>
  <c r="R78" i="3"/>
  <c r="P79" i="3"/>
  <c r="Q79" i="3"/>
  <c r="R79" i="3"/>
  <c r="P80" i="3"/>
  <c r="Q80" i="3"/>
  <c r="R80" i="3"/>
  <c r="P81" i="3"/>
  <c r="Q81" i="3"/>
  <c r="R81" i="3"/>
  <c r="P82" i="3"/>
  <c r="Q82" i="3"/>
  <c r="R82" i="3"/>
  <c r="P83" i="3"/>
  <c r="Q83" i="3"/>
  <c r="R83" i="3"/>
  <c r="P84" i="3"/>
  <c r="Q84" i="3"/>
  <c r="R84" i="3"/>
  <c r="P85" i="3"/>
  <c r="Q85" i="3"/>
  <c r="R85" i="3"/>
  <c r="P86" i="3"/>
  <c r="Q86" i="3"/>
  <c r="R86" i="3"/>
  <c r="Q2" i="3"/>
  <c r="R2" i="3"/>
  <c r="P2" i="3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I9" i="2"/>
  <c r="H9" i="2"/>
  <c r="H84" i="1"/>
  <c r="G83" i="1"/>
  <c r="H83" i="1" s="1"/>
  <c r="G84" i="1"/>
  <c r="H19" i="1"/>
  <c r="H21" i="1"/>
  <c r="H31" i="1"/>
  <c r="H33" i="1"/>
  <c r="H43" i="1"/>
  <c r="H45" i="1"/>
  <c r="H55" i="1"/>
  <c r="H57" i="1"/>
  <c r="H67" i="1"/>
  <c r="H69" i="1"/>
  <c r="H79" i="1"/>
  <c r="H81" i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" i="2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H20" i="1" s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G32" i="1"/>
  <c r="H32" i="1" s="1"/>
  <c r="G33" i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G44" i="1"/>
  <c r="H44" i="1" s="1"/>
  <c r="G45" i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G56" i="1"/>
  <c r="H56" i="1" s="1"/>
  <c r="G57" i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G68" i="1"/>
  <c r="H68" i="1" s="1"/>
  <c r="G69" i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G80" i="1"/>
  <c r="H80" i="1" s="1"/>
  <c r="G81" i="1"/>
  <c r="G82" i="1"/>
  <c r="H82" i="1" s="1"/>
  <c r="G85" i="1"/>
  <c r="H85" i="1" s="1"/>
  <c r="G86" i="1"/>
  <c r="H86" i="1" s="1"/>
</calcChain>
</file>

<file path=xl/sharedStrings.xml><?xml version="1.0" encoding="utf-8"?>
<sst xmlns="http://schemas.openxmlformats.org/spreadsheetml/2006/main" count="381" uniqueCount="207">
  <si>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</si>
  <si>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</si>
  <si>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</si>
  <si>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</si>
  <si>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</si>
  <si>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</si>
  <si>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</si>
  <si>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</si>
  <si>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</si>
  <si>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</si>
  <si>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</si>
  <si>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</si>
  <si>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</si>
  <si>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</si>
  <si>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</si>
  <si>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</si>
  <si>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</si>
  <si>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</si>
  <si>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</si>
  <si>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</si>
  <si>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</si>
  <si>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</si>
  <si>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</si>
  <si>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</si>
  <si>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</si>
  <si>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</si>
  <si>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</si>
  <si>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</si>
  <si>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</si>
  <si>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</si>
  <si>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</si>
  <si>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</si>
  <si>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</si>
  <si>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</si>
  <si>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</si>
  <si>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</si>
  <si>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</si>
  <si>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</si>
  <si>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</si>
  <si>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</si>
  <si>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</si>
  <si>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</si>
  <si>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</si>
  <si>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</si>
  <si>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</si>
  <si>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</si>
  <si>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</si>
  <si>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</si>
  <si>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</si>
  <si>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</si>
  <si>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</si>
  <si>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</si>
  <si>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</si>
  <si>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</si>
  <si>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</si>
  <si>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</si>
  <si>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</si>
  <si>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B3A16</t>
  </si>
  <si>
    <t>B3A17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</si>
  <si>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</si>
  <si>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</si>
  <si>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</si>
  <si>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</si>
  <si>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</si>
  <si>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</si>
  <si>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</si>
  <si>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</si>
  <si>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</si>
  <si>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</si>
  <si>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</si>
  <si>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</si>
  <si>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</si>
  <si>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</si>
  <si>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</si>
  <si>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</si>
  <si>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</si>
  <si>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</si>
  <si>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</si>
  <si>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</si>
  <si>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</si>
  <si>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</si>
  <si>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B4A20</t>
  </si>
  <si>
    <t>B4A21</t>
  </si>
  <si>
    <t>B4A22</t>
  </si>
  <si>
    <t>Plot_ID</t>
  </si>
  <si>
    <t>Glas leer (g)</t>
  </si>
  <si>
    <t>Einwaage Boden (g)</t>
  </si>
  <si>
    <t>Glas + getrockneter Boden (g)</t>
  </si>
  <si>
    <t>SWC</t>
  </si>
  <si>
    <t>Eberhard-Karls-Universität Tübingen - Geographisches Institut - Labor für Bodenkunde und Geoökologie</t>
  </si>
  <si>
    <r>
      <t>Continuous flow analysis (photometrische Bestimmung der Konzentrationen von 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</rPr>
      <t>ˉ und NH</t>
    </r>
    <r>
      <rPr>
        <b/>
        <vertAlign val="subscript"/>
        <sz val="11"/>
        <color theme="1"/>
        <rFont val="Calibri"/>
        <family val="2"/>
      </rPr>
      <t>4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  <scheme val="minor"/>
      </rPr>
      <t>)</t>
    </r>
  </si>
  <si>
    <r>
      <t>NO</t>
    </r>
    <r>
      <rPr>
        <b/>
        <vertAlign val="sub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</rPr>
      <t>ˉ-N</t>
    </r>
    <r>
      <rPr>
        <b/>
        <sz val="12"/>
        <color theme="1"/>
        <rFont val="Calibri"/>
        <family val="2"/>
        <scheme val="minor"/>
      </rPr>
      <t xml:space="preserve"> [mg/l]</t>
    </r>
  </si>
  <si>
    <r>
      <t>NH</t>
    </r>
    <r>
      <rPr>
        <b/>
        <vertAlign val="subscript"/>
        <sz val="12"/>
        <color theme="1"/>
        <rFont val="Calibri"/>
        <family val="2"/>
        <scheme val="minor"/>
      </rPr>
      <t>4</t>
    </r>
    <r>
      <rPr>
        <b/>
        <vertAlign val="superscript"/>
        <sz val="12"/>
        <color theme="1"/>
        <rFont val="Calibri"/>
        <family val="2"/>
        <scheme val="minor"/>
      </rPr>
      <t>+</t>
    </r>
    <r>
      <rPr>
        <b/>
        <sz val="12"/>
        <color theme="1"/>
        <rFont val="Calibri"/>
        <family val="2"/>
        <scheme val="minor"/>
      </rPr>
      <t>-N [mg/l]</t>
    </r>
  </si>
  <si>
    <t>Detectionslimit</t>
  </si>
  <si>
    <t>höchster Kalibrant</t>
  </si>
  <si>
    <t>Labornummer</t>
  </si>
  <si>
    <t>Probenbezeichnung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</si>
  <si>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</si>
  <si>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</si>
  <si>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</si>
  <si>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</si>
  <si>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</si>
  <si>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</si>
  <si>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</si>
  <si>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</si>
  <si>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</si>
  <si>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</si>
  <si>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</si>
  <si>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</si>
  <si>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</si>
  <si>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</si>
  <si>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</si>
  <si>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</si>
  <si>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</si>
  <si>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</si>
  <si>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</si>
  <si>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</si>
  <si>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</si>
  <si>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</si>
  <si>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</si>
  <si>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</si>
  <si>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</si>
  <si>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</si>
  <si>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</si>
  <si>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</si>
  <si>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</si>
  <si>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</si>
  <si>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</si>
  <si>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</si>
  <si>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</si>
  <si>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</si>
  <si>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</si>
  <si>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</si>
  <si>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</si>
  <si>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</si>
  <si>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</si>
  <si>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</si>
  <si>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</si>
  <si>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</si>
  <si>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</si>
  <si>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</si>
  <si>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</si>
  <si>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</si>
  <si>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</si>
  <si>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</si>
  <si>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</si>
  <si>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</si>
  <si>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</si>
  <si>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</si>
  <si>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</si>
  <si>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</si>
  <si>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</si>
  <si>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</si>
  <si>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</si>
  <si>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</si>
  <si>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</si>
  <si>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</si>
  <si>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</si>
  <si>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</si>
  <si>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</si>
  <si>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</si>
  <si>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</si>
  <si>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</si>
  <si>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</si>
  <si>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</si>
  <si>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</si>
  <si>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</si>
  <si>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</si>
  <si>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</si>
  <si>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</si>
  <si>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</si>
  <si>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</si>
  <si>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</si>
  <si>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</si>
  <si>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</si>
  <si>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</si>
  <si>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</si>
  <si>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</si>
  <si>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</si>
  <si>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B4A18</t>
  </si>
  <si>
    <t>55746</t>
  </si>
  <si>
    <t>55747</t>
  </si>
  <si>
    <t>55748</t>
  </si>
  <si>
    <t>Blank 1</t>
  </si>
  <si>
    <t>Blank 2</t>
  </si>
  <si>
    <t>Blank 3</t>
  </si>
  <si>
    <t>Blank 4</t>
  </si>
  <si>
    <r>
      <t>N</t>
    </r>
    <r>
      <rPr>
        <b/>
        <vertAlign val="subscript"/>
        <sz val="12"/>
        <color theme="1"/>
        <rFont val="Calibri"/>
        <family val="2"/>
        <scheme val="minor"/>
      </rPr>
      <t>min</t>
    </r>
    <r>
      <rPr>
        <b/>
        <sz val="12"/>
        <color theme="1"/>
        <rFont val="Calibri"/>
        <family val="2"/>
        <scheme val="minor"/>
      </rPr>
      <t xml:space="preserve"> [mg/L]</t>
    </r>
  </si>
  <si>
    <t>Getrocken Boden</t>
  </si>
  <si>
    <r>
      <t>NO</t>
    </r>
    <r>
      <rPr>
        <b/>
        <vertAlign val="subscript"/>
        <sz val="12"/>
        <color theme="1"/>
        <rFont val="Calibri"/>
        <family val="2"/>
        <scheme val="minor"/>
      </rPr>
      <t>3</t>
    </r>
    <r>
      <rPr>
        <b/>
        <sz val="12"/>
        <color theme="1"/>
        <rFont val="Calibri"/>
        <family val="2"/>
      </rPr>
      <t>ˉ-N</t>
    </r>
    <r>
      <rPr>
        <b/>
        <sz val="12"/>
        <color theme="1"/>
        <rFont val="Calibri"/>
        <family val="2"/>
        <scheme val="minor"/>
      </rPr>
      <t xml:space="preserve"> [mg/kg]</t>
    </r>
  </si>
  <si>
    <t>Block</t>
  </si>
  <si>
    <t>Nmin</t>
  </si>
  <si>
    <t>sowndiv</t>
  </si>
  <si>
    <t>funcgr</t>
  </si>
  <si>
    <t>grass</t>
  </si>
  <si>
    <t>sherb</t>
  </si>
  <si>
    <t>therb</t>
  </si>
  <si>
    <t>legume</t>
  </si>
  <si>
    <t>p_grass</t>
  </si>
  <si>
    <t>p_sherb</t>
  </si>
  <si>
    <t>p_therb</t>
  </si>
  <si>
    <t>p_legume</t>
  </si>
  <si>
    <t>NO3</t>
  </si>
  <si>
    <t>NH4</t>
  </si>
  <si>
    <t>logNO3</t>
  </si>
  <si>
    <t>logNH4</t>
  </si>
  <si>
    <t>logNmin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</si>
</sst>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4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3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5" xfId="0" applyNumberFormat="1" applyBorder="1"/>
    <xf numFmtId="0" fontId="0" fillId="0" borderId="14" xfId="0" applyBorder="1"/>
    <xf numFmtId="164" fontId="0" fillId="0" borderId="18" xfId="0" applyNumberFormat="1" applyBorder="1"/>
    <xf numFmtId="0" fontId="0" fillId="0" borderId="19" xfId="0" applyBorder="1"/>
    <xf numFmtId="164" fontId="0" fillId="0" borderId="20" xfId="0" applyNumberFormat="1" applyBorder="1"/>
    <xf numFmtId="164" fontId="0" fillId="0" borderId="17" xfId="0" applyNumberFormat="1" applyBorder="1"/>
    <xf numFmtId="0" fontId="15" fillId="0" borderId="21" xfId="0" applyFont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27" fillId="0" borderId="0" xfId="0" applyFont="1"/>
    <xf numFmtId="0" fontId="0" fillId="0" borderId="24" xfId="0" applyBorder="1" applyAlignment="1">
      <alignment horizontal="center" vertical="center"/>
    </xf>
    <xf numFmtId="164" fontId="0" fillId="0" borderId="25" xfId="0" applyNumberFormat="1" applyBorder="1"/>
    <xf numFmtId="164" fontId="0" fillId="0" borderId="26" xfId="0" applyNumberFormat="1" applyBorder="1"/>
    <xf numFmtId="0" fontId="0" fillId="0" borderId="27" xfId="0" applyBorder="1" applyAlignment="1">
      <alignment horizontal="center" vertical="center"/>
    </xf>
    <xf numFmtId="164" fontId="0" fillId="0" borderId="28" xfId="0" applyNumberFormat="1" applyBorder="1"/>
    <xf numFmtId="164" fontId="0" fillId="0" borderId="29" xfId="0" applyNumberFormat="1" applyBorder="1"/>
    <xf numFmtId="0" fontId="0" fillId="0" borderId="30" xfId="0" applyBorder="1" applyAlignment="1">
      <alignment horizontal="center" vertical="center"/>
    </xf>
    <xf numFmtId="164" fontId="0" fillId="0" borderId="31" xfId="0" applyNumberFormat="1" applyBorder="1"/>
    <xf numFmtId="164" fontId="0" fillId="0" borderId="32" xfId="0" applyNumberFormat="1" applyBorder="1"/>
    <xf numFmtId="164" fontId="27" fillId="0" borderId="0" xfId="0" applyNumberFormat="1" applyFont="1"/>
    <xf numFmtId="0" fontId="23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28" fillId="0" borderId="3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7" xfId="0" applyNumberForma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</cellXfs>
  <cellStyles count="42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ccent1 2" xfId="36" xr:uid="{F07D1056-69EA-4D03-8638-62883B1B52CD}"/>
    <cellStyle name="60% - Accent2 2" xfId="37" xr:uid="{0C37712D-3AE3-490D-ABCE-9374EC262AA5}"/>
    <cellStyle name="60% - Accent3 2" xfId="38" xr:uid="{F7CA95EB-36A5-494C-A49B-2A2B0D4D5E56}"/>
    <cellStyle name="60% - Accent4 2" xfId="39" xr:uid="{E93638FA-E662-4CF1-B043-F9EB67F51232}"/>
    <cellStyle name="60% - Accent5 2" xfId="40" xr:uid="{58679866-E086-4D92-B932-63E08B801804}"/>
    <cellStyle name="60% - Accent6 2" xfId="41" xr:uid="{43DFF958-F318-458A-B56B-ABABAFD919E5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 2" xfId="35" xr:uid="{C41D0E7B-455E-4F64-865E-EA4838097B80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6F9D-F769-40AE-953C-62C6345FD101}">
  <dimension ref="A1:H86"/>
  <sheetViews>
    <sheetView topLeftCell="A61" workbookViewId="0">
      <selection activeCell="H1" sqref="H1:H86"/>
    </sheetView>
  </sheetViews>
  <sheetFormatPr baseColWidth="10" defaultColWidth="8.77734375" defaultRowHeight="14.4" x14ac:dyDescent="0.3"/>
  <cols>
    <col min="2" max="2" width="10.44140625" customWidth="1"/>
    <col min="3" max="3" width="16.6640625" customWidth="1"/>
    <col min="8" max="8" width="13.5546875" customWidth="1"/>
  </cols>
  <sheetData>
    <row r="1" spans="1:8" x14ac:dyDescent="0.3">
      <c r="A1" t="s">
        <v>84</v>
      </c>
      <c r="B1" t="s">
        <v>85</v>
      </c>
      <c r="C1" t="s">
        <v>86</v>
      </c>
      <c r="D1" t="s">
        <v>87</v>
      </c>
      <c r="G1" t="s">
        <v>88</v>
      </c>
      <c r="H1" t="s">
        <v>188</v>
      </c>
    </row>
    <row r="2" spans="1:8" x14ac:dyDescent="0.3">
      <c r="A2" s="2" t="s">
        <v>0</v>
      </c>
      <c r="B2" s="1">
        <v>82.56</v>
      </c>
      <c r="C2" s="1">
        <v>5.01</v>
      </c>
      <c r="D2" s="1">
        <v>87</v>
      </c>
      <c r="E2" s="1"/>
      <c r="F2" s="1"/>
      <c r="G2" s="1">
        <f>100*(C2-(D2-B2))/(D2-B2)</f>
        <v>12.83783783783789</v>
      </c>
      <c r="H2" s="27">
        <f>C2*(100-G2)/100</f>
        <v>4.3668243243243214</v>
      </c>
    </row>
    <row r="3" spans="1:8" x14ac:dyDescent="0.3">
      <c r="A3" s="2" t="s">
        <v>1</v>
      </c>
      <c r="B3" s="1">
        <v>82.14</v>
      </c>
      <c r="C3" s="1">
        <v>5.0599999999999996</v>
      </c>
      <c r="D3" s="1">
        <v>86.77</v>
      </c>
      <c r="G3" s="1">
        <f t="shared" ref="G3:G66" si="0">100*(C3-(D3-B3))/(D3-B3)</f>
        <v>9.2872570194385435</v>
      </c>
      <c r="H3" s="27">
        <f t="shared" ref="H3:H66" si="1">C3*(100-G3)/100</f>
        <v>4.5900647948164099</v>
      </c>
    </row>
    <row r="4" spans="1:8" x14ac:dyDescent="0.3">
      <c r="A4" s="2" t="s">
        <v>2</v>
      </c>
      <c r="B4" s="1">
        <v>82.97</v>
      </c>
      <c r="C4" s="1">
        <v>5.05</v>
      </c>
      <c r="D4" s="1">
        <v>87.57</v>
      </c>
      <c r="G4" s="1">
        <f t="shared" si="0"/>
        <v>9.7826086956523071</v>
      </c>
      <c r="H4" s="27">
        <f t="shared" si="1"/>
        <v>4.5559782608695585</v>
      </c>
    </row>
    <row r="5" spans="1:8" x14ac:dyDescent="0.3">
      <c r="A5" s="2" t="s">
        <v>3</v>
      </c>
      <c r="B5" s="1">
        <v>82.66</v>
      </c>
      <c r="C5" s="1">
        <v>4.99</v>
      </c>
      <c r="D5" s="1">
        <v>87.14</v>
      </c>
      <c r="G5" s="1">
        <f t="shared" si="0"/>
        <v>11.383928571428477</v>
      </c>
      <c r="H5" s="27">
        <f t="shared" si="1"/>
        <v>4.4219419642857192</v>
      </c>
    </row>
    <row r="6" spans="1:8" x14ac:dyDescent="0.3">
      <c r="A6" s="2" t="s">
        <v>4</v>
      </c>
      <c r="B6" s="1">
        <v>81.849999999999994</v>
      </c>
      <c r="C6" s="1">
        <v>5.03</v>
      </c>
      <c r="D6" s="1">
        <v>86.38</v>
      </c>
      <c r="G6" s="1">
        <f t="shared" si="0"/>
        <v>11.037527593818963</v>
      </c>
      <c r="H6" s="27">
        <f t="shared" si="1"/>
        <v>4.4748123620309066</v>
      </c>
    </row>
    <row r="7" spans="1:8" x14ac:dyDescent="0.3">
      <c r="A7" s="2" t="s">
        <v>5</v>
      </c>
      <c r="B7" s="1">
        <v>81.12</v>
      </c>
      <c r="C7" s="1">
        <v>5.03</v>
      </c>
      <c r="D7" s="1">
        <v>85.71</v>
      </c>
      <c r="G7" s="1">
        <f t="shared" si="0"/>
        <v>9.5860566448804381</v>
      </c>
      <c r="H7" s="27">
        <f t="shared" si="1"/>
        <v>4.547821350762514</v>
      </c>
    </row>
    <row r="8" spans="1:8" x14ac:dyDescent="0.3">
      <c r="A8" s="2" t="s">
        <v>6</v>
      </c>
      <c r="B8" s="1">
        <v>82.02</v>
      </c>
      <c r="C8" s="1">
        <v>5.01</v>
      </c>
      <c r="D8" s="1">
        <v>86.61</v>
      </c>
      <c r="G8" s="1">
        <f t="shared" si="0"/>
        <v>9.1503267973855351</v>
      </c>
      <c r="H8" s="27">
        <f t="shared" si="1"/>
        <v>4.551568627450985</v>
      </c>
    </row>
    <row r="9" spans="1:8" x14ac:dyDescent="0.3">
      <c r="A9" s="2" t="s">
        <v>7</v>
      </c>
      <c r="B9" s="1">
        <v>81.319999999999993</v>
      </c>
      <c r="C9" s="1">
        <v>5</v>
      </c>
      <c r="D9" s="1">
        <v>85.67</v>
      </c>
      <c r="G9" s="1">
        <f t="shared" si="0"/>
        <v>14.942528735631958</v>
      </c>
      <c r="H9" s="27">
        <f t="shared" si="1"/>
        <v>4.2528735632184018</v>
      </c>
    </row>
    <row r="10" spans="1:8" x14ac:dyDescent="0.3">
      <c r="A10" s="2" t="s">
        <v>8</v>
      </c>
      <c r="B10" s="1">
        <v>81.37</v>
      </c>
      <c r="C10" s="1">
        <v>5</v>
      </c>
      <c r="D10" s="1">
        <v>85.77</v>
      </c>
      <c r="G10" s="1">
        <f t="shared" si="0"/>
        <v>13.636363636363857</v>
      </c>
      <c r="H10" s="27">
        <f t="shared" si="1"/>
        <v>4.3181818181818077</v>
      </c>
    </row>
    <row r="11" spans="1:8" x14ac:dyDescent="0.3">
      <c r="A11" s="2" t="s">
        <v>9</v>
      </c>
      <c r="B11" s="1">
        <v>81.95</v>
      </c>
      <c r="C11" s="1">
        <v>5</v>
      </c>
      <c r="D11" s="1">
        <v>86.33</v>
      </c>
      <c r="G11" s="1">
        <f t="shared" si="0"/>
        <v>14.155251141552631</v>
      </c>
      <c r="H11" s="27">
        <f t="shared" si="1"/>
        <v>4.2922374429223682</v>
      </c>
    </row>
    <row r="12" spans="1:8" x14ac:dyDescent="0.3">
      <c r="A12" s="2" t="s">
        <v>10</v>
      </c>
      <c r="B12" s="1">
        <v>81.069999999999993</v>
      </c>
      <c r="C12" s="1">
        <v>5</v>
      </c>
      <c r="D12" s="1">
        <v>85.44</v>
      </c>
      <c r="G12" s="1">
        <f t="shared" si="0"/>
        <v>14.416475972539926</v>
      </c>
      <c r="H12" s="27">
        <f t="shared" si="1"/>
        <v>4.2791762013730033</v>
      </c>
    </row>
    <row r="13" spans="1:8" x14ac:dyDescent="0.3">
      <c r="A13" s="2" t="s">
        <v>11</v>
      </c>
      <c r="B13" s="1">
        <v>82.51</v>
      </c>
      <c r="C13" s="1">
        <v>5.01</v>
      </c>
      <c r="D13" s="1">
        <v>86.91</v>
      </c>
      <c r="G13" s="1">
        <f t="shared" si="0"/>
        <v>13.86363636363658</v>
      </c>
      <c r="H13" s="27">
        <f t="shared" si="1"/>
        <v>4.3154318181818079</v>
      </c>
    </row>
    <row r="14" spans="1:8" x14ac:dyDescent="0.3">
      <c r="A14" s="2" t="s">
        <v>12</v>
      </c>
      <c r="B14" s="1">
        <v>81.849999999999994</v>
      </c>
      <c r="C14" s="1">
        <v>5.0199999999999996</v>
      </c>
      <c r="D14" s="1">
        <v>86.15</v>
      </c>
      <c r="G14" s="1">
        <f t="shared" si="0"/>
        <v>16.744186046511309</v>
      </c>
      <c r="H14" s="27">
        <f t="shared" si="1"/>
        <v>4.1794418604651318</v>
      </c>
    </row>
    <row r="15" spans="1:8" x14ac:dyDescent="0.3">
      <c r="A15" s="2" t="s">
        <v>13</v>
      </c>
      <c r="B15" s="1">
        <v>81.47</v>
      </c>
      <c r="C15" s="1">
        <v>5.0199999999999996</v>
      </c>
      <c r="D15" s="1">
        <v>85.95</v>
      </c>
      <c r="G15" s="1">
        <f t="shared" si="0"/>
        <v>12.053571428571319</v>
      </c>
      <c r="H15" s="27">
        <f t="shared" si="1"/>
        <v>4.4149107142857194</v>
      </c>
    </row>
    <row r="16" spans="1:8" x14ac:dyDescent="0.3">
      <c r="A16" s="2" t="s">
        <v>14</v>
      </c>
      <c r="B16" s="1">
        <v>82.72</v>
      </c>
      <c r="C16" s="1">
        <v>5.05</v>
      </c>
      <c r="D16" s="1">
        <v>87.05</v>
      </c>
      <c r="G16" s="1">
        <f t="shared" si="0"/>
        <v>16.628175519630528</v>
      </c>
      <c r="H16" s="27">
        <f t="shared" si="1"/>
        <v>4.2102771362586582</v>
      </c>
    </row>
    <row r="17" spans="1:8" x14ac:dyDescent="0.3">
      <c r="A17" s="2" t="s">
        <v>15</v>
      </c>
      <c r="B17" s="1">
        <v>81.97</v>
      </c>
      <c r="C17" s="1">
        <v>5.03</v>
      </c>
      <c r="D17" s="1">
        <v>86.43</v>
      </c>
      <c r="G17" s="1">
        <f t="shared" si="0"/>
        <v>12.780269058295769</v>
      </c>
      <c r="H17" s="27">
        <f t="shared" si="1"/>
        <v>4.3871524663677226</v>
      </c>
    </row>
    <row r="18" spans="1:8" x14ac:dyDescent="0.3">
      <c r="A18" s="2" t="s">
        <v>16</v>
      </c>
      <c r="B18" s="1">
        <v>82.61</v>
      </c>
      <c r="C18" s="1">
        <v>5.04</v>
      </c>
      <c r="D18" s="1">
        <v>87.02</v>
      </c>
      <c r="G18" s="1">
        <f t="shared" si="0"/>
        <v>14.285714285714374</v>
      </c>
      <c r="H18" s="27">
        <f t="shared" si="1"/>
        <v>4.3199999999999958</v>
      </c>
    </row>
    <row r="19" spans="1:8" x14ac:dyDescent="0.3">
      <c r="A19" s="2" t="s">
        <v>17</v>
      </c>
      <c r="B19" s="1">
        <v>82.72</v>
      </c>
      <c r="C19" s="1">
        <v>4.99</v>
      </c>
      <c r="D19" s="1">
        <v>87.06</v>
      </c>
      <c r="G19" s="1">
        <f t="shared" si="0"/>
        <v>14.976958525345538</v>
      </c>
      <c r="H19" s="27">
        <f t="shared" si="1"/>
        <v>4.2426497695852579</v>
      </c>
    </row>
    <row r="20" spans="1:8" x14ac:dyDescent="0.3">
      <c r="A20" s="2" t="s">
        <v>18</v>
      </c>
      <c r="B20" s="1">
        <v>81.92</v>
      </c>
      <c r="C20" s="1">
        <v>5.03</v>
      </c>
      <c r="D20" s="1">
        <v>86.48</v>
      </c>
      <c r="G20" s="1">
        <f t="shared" si="0"/>
        <v>10.307017543859601</v>
      </c>
      <c r="H20" s="27">
        <f t="shared" si="1"/>
        <v>4.5115570175438622</v>
      </c>
    </row>
    <row r="21" spans="1:8" x14ac:dyDescent="0.3">
      <c r="A21" s="2" t="s">
        <v>19</v>
      </c>
      <c r="B21" s="1">
        <v>82.75</v>
      </c>
      <c r="C21" s="1">
        <v>4.9800000000000004</v>
      </c>
      <c r="D21" s="1">
        <v>87</v>
      </c>
      <c r="G21" s="1">
        <f t="shared" si="0"/>
        <v>17.176470588235304</v>
      </c>
      <c r="H21" s="27">
        <f t="shared" si="1"/>
        <v>4.1246117647058824</v>
      </c>
    </row>
    <row r="22" spans="1:8" x14ac:dyDescent="0.3">
      <c r="A22" s="2" t="s">
        <v>20</v>
      </c>
      <c r="B22" s="1">
        <v>82.79</v>
      </c>
      <c r="C22" s="1">
        <v>5</v>
      </c>
      <c r="D22" s="1">
        <v>87.17</v>
      </c>
      <c r="G22" s="1">
        <f t="shared" si="0"/>
        <v>14.155251141552631</v>
      </c>
      <c r="H22" s="27">
        <f t="shared" si="1"/>
        <v>4.2922374429223682</v>
      </c>
    </row>
    <row r="23" spans="1:8" x14ac:dyDescent="0.3">
      <c r="A23" s="2" t="s">
        <v>21</v>
      </c>
      <c r="B23" s="1">
        <v>81.67</v>
      </c>
      <c r="C23" s="1">
        <v>5.01</v>
      </c>
      <c r="D23" s="1">
        <v>86</v>
      </c>
      <c r="G23" s="1">
        <f t="shared" si="0"/>
        <v>15.704387990762164</v>
      </c>
      <c r="H23" s="27">
        <f t="shared" si="1"/>
        <v>4.2232101616628146</v>
      </c>
    </row>
    <row r="24" spans="1:8" x14ac:dyDescent="0.3">
      <c r="A24" s="2" t="s">
        <v>22</v>
      </c>
      <c r="B24" s="1">
        <v>82.61</v>
      </c>
      <c r="C24" s="1">
        <v>4.99</v>
      </c>
      <c r="D24" s="1">
        <v>86.88</v>
      </c>
      <c r="G24" s="1">
        <f t="shared" si="0"/>
        <v>16.861826697892386</v>
      </c>
      <c r="H24" s="27">
        <f t="shared" si="1"/>
        <v>4.1485948477751702</v>
      </c>
    </row>
    <row r="25" spans="1:8" x14ac:dyDescent="0.3">
      <c r="A25" s="2" t="s">
        <v>23</v>
      </c>
      <c r="B25" s="1">
        <v>82.66</v>
      </c>
      <c r="C25" s="1">
        <v>5</v>
      </c>
      <c r="D25" s="1">
        <v>86.93</v>
      </c>
      <c r="G25" s="1">
        <f t="shared" si="0"/>
        <v>17.096018735362716</v>
      </c>
      <c r="H25" s="27">
        <f t="shared" si="1"/>
        <v>4.145199063231864</v>
      </c>
    </row>
    <row r="26" spans="1:8" x14ac:dyDescent="0.3">
      <c r="A26" s="2" t="s">
        <v>24</v>
      </c>
      <c r="B26" s="1">
        <v>82.72</v>
      </c>
      <c r="C26" s="1">
        <v>5</v>
      </c>
      <c r="D26" s="1">
        <v>86.94</v>
      </c>
      <c r="G26" s="1">
        <f t="shared" si="0"/>
        <v>18.483412322274912</v>
      </c>
      <c r="H26" s="27">
        <f t="shared" si="1"/>
        <v>4.075829383886254</v>
      </c>
    </row>
    <row r="27" spans="1:8" x14ac:dyDescent="0.3">
      <c r="A27" s="2" t="s">
        <v>25</v>
      </c>
      <c r="B27" s="1">
        <v>82.99</v>
      </c>
      <c r="C27" s="1">
        <v>5.0199999999999996</v>
      </c>
      <c r="D27" s="1">
        <v>87.34</v>
      </c>
      <c r="G27" s="1">
        <f t="shared" si="0"/>
        <v>15.402298850574477</v>
      </c>
      <c r="H27" s="27">
        <f t="shared" si="1"/>
        <v>4.2468045977011606</v>
      </c>
    </row>
    <row r="28" spans="1:8" x14ac:dyDescent="0.3">
      <c r="A28" s="2" t="s">
        <v>26</v>
      </c>
      <c r="B28" s="1">
        <v>81.27</v>
      </c>
      <c r="C28" s="1">
        <v>4.99</v>
      </c>
      <c r="D28" s="1">
        <v>85.73</v>
      </c>
      <c r="G28" s="1">
        <f t="shared" si="0"/>
        <v>11.883408071748685</v>
      </c>
      <c r="H28" s="27">
        <f t="shared" si="1"/>
        <v>4.3970179372197409</v>
      </c>
    </row>
    <row r="29" spans="1:8" x14ac:dyDescent="0.3">
      <c r="A29" s="2" t="s">
        <v>27</v>
      </c>
      <c r="B29" s="1">
        <v>82.86</v>
      </c>
      <c r="C29" s="1">
        <v>5.03</v>
      </c>
      <c r="D29" s="1">
        <v>87.21</v>
      </c>
      <c r="G29" s="1">
        <f t="shared" si="0"/>
        <v>15.632183908046134</v>
      </c>
      <c r="H29" s="27">
        <f t="shared" si="1"/>
        <v>4.2437011494252799</v>
      </c>
    </row>
    <row r="30" spans="1:8" x14ac:dyDescent="0.3">
      <c r="A30" s="2" t="s">
        <v>28</v>
      </c>
      <c r="B30" s="1">
        <v>81.599999999999994</v>
      </c>
      <c r="C30" s="1">
        <v>5</v>
      </c>
      <c r="D30" s="1">
        <v>85.76</v>
      </c>
      <c r="G30" s="1">
        <f t="shared" si="0"/>
        <v>20.192307692307381</v>
      </c>
      <c r="H30" s="27">
        <f t="shared" si="1"/>
        <v>3.990384615384631</v>
      </c>
    </row>
    <row r="31" spans="1:8" x14ac:dyDescent="0.3">
      <c r="A31" s="2" t="s">
        <v>29</v>
      </c>
      <c r="B31" s="1">
        <v>82.72</v>
      </c>
      <c r="C31" s="1">
        <v>5</v>
      </c>
      <c r="D31" s="1">
        <v>87.01</v>
      </c>
      <c r="G31" s="1">
        <f t="shared" si="0"/>
        <v>16.550116550116382</v>
      </c>
      <c r="H31" s="27">
        <f t="shared" si="1"/>
        <v>4.1724941724941802</v>
      </c>
    </row>
    <row r="32" spans="1:8" x14ac:dyDescent="0.3">
      <c r="A32" s="2" t="s">
        <v>30</v>
      </c>
      <c r="B32" s="1">
        <v>82.7</v>
      </c>
      <c r="C32" s="1">
        <v>4.99</v>
      </c>
      <c r="D32" s="1">
        <v>87.01</v>
      </c>
      <c r="G32" s="1">
        <f t="shared" si="0"/>
        <v>15.777262180974423</v>
      </c>
      <c r="H32" s="27">
        <f t="shared" si="1"/>
        <v>4.2027146171693763</v>
      </c>
    </row>
    <row r="33" spans="1:8" x14ac:dyDescent="0.3">
      <c r="A33" s="2" t="s">
        <v>31</v>
      </c>
      <c r="B33" s="1">
        <v>82.24</v>
      </c>
      <c r="C33" s="1">
        <v>5.01</v>
      </c>
      <c r="D33" s="1">
        <v>86.57</v>
      </c>
      <c r="G33" s="1">
        <f t="shared" si="0"/>
        <v>15.704387990762164</v>
      </c>
      <c r="H33" s="27">
        <f t="shared" si="1"/>
        <v>4.2232101616628146</v>
      </c>
    </row>
    <row r="34" spans="1:8" x14ac:dyDescent="0.3">
      <c r="A34" s="2" t="s">
        <v>32</v>
      </c>
      <c r="B34" s="1">
        <v>81.89</v>
      </c>
      <c r="C34" s="1">
        <v>5</v>
      </c>
      <c r="D34" s="1">
        <v>86.11</v>
      </c>
      <c r="G34" s="1">
        <f t="shared" si="0"/>
        <v>18.483412322274912</v>
      </c>
      <c r="H34" s="27">
        <f t="shared" si="1"/>
        <v>4.075829383886254</v>
      </c>
    </row>
    <row r="35" spans="1:8" x14ac:dyDescent="0.3">
      <c r="A35" s="2" t="s">
        <v>33</v>
      </c>
      <c r="B35" s="1">
        <v>81.89</v>
      </c>
      <c r="C35" s="1">
        <v>4.99</v>
      </c>
      <c r="D35" s="1">
        <v>86.2</v>
      </c>
      <c r="G35" s="1">
        <f t="shared" si="0"/>
        <v>15.777262180974423</v>
      </c>
      <c r="H35" s="27">
        <f t="shared" si="1"/>
        <v>4.2027146171693763</v>
      </c>
    </row>
    <row r="36" spans="1:8" x14ac:dyDescent="0.3">
      <c r="A36" s="2" t="s">
        <v>34</v>
      </c>
      <c r="B36" s="1">
        <v>81.62</v>
      </c>
      <c r="C36" s="1">
        <v>5</v>
      </c>
      <c r="D36" s="1">
        <v>85.78</v>
      </c>
      <c r="G36" s="1">
        <f t="shared" si="0"/>
        <v>20.192307692307789</v>
      </c>
      <c r="H36" s="27">
        <f t="shared" si="1"/>
        <v>3.9903846153846105</v>
      </c>
    </row>
    <row r="37" spans="1:8" x14ac:dyDescent="0.3">
      <c r="A37" s="2" t="s">
        <v>35</v>
      </c>
      <c r="B37" s="1">
        <v>82.56</v>
      </c>
      <c r="C37" s="1">
        <v>5.01</v>
      </c>
      <c r="D37" s="1">
        <v>86.85</v>
      </c>
      <c r="G37" s="1">
        <f t="shared" si="0"/>
        <v>16.783216783216993</v>
      </c>
      <c r="H37" s="27">
        <f t="shared" si="1"/>
        <v>4.1691608391608277</v>
      </c>
    </row>
    <row r="38" spans="1:8" x14ac:dyDescent="0.3">
      <c r="A38" s="2" t="s">
        <v>36</v>
      </c>
      <c r="B38" s="1">
        <v>81.91</v>
      </c>
      <c r="C38" s="1">
        <v>5</v>
      </c>
      <c r="D38" s="1">
        <v>86.12</v>
      </c>
      <c r="G38" s="1">
        <f t="shared" si="0"/>
        <v>18.764845605700486</v>
      </c>
      <c r="H38" s="27">
        <f t="shared" si="1"/>
        <v>4.0617577197149757</v>
      </c>
    </row>
    <row r="39" spans="1:8" x14ac:dyDescent="0.3">
      <c r="A39" s="2" t="s">
        <v>37</v>
      </c>
      <c r="B39" s="1">
        <v>83.025999999999996</v>
      </c>
      <c r="C39" s="1">
        <v>5.0170000000000003</v>
      </c>
      <c r="D39" s="1">
        <v>87.34</v>
      </c>
      <c r="G39" s="1">
        <f t="shared" si="0"/>
        <v>16.295781177561242</v>
      </c>
      <c r="H39" s="27">
        <f t="shared" si="1"/>
        <v>4.1994406583217527</v>
      </c>
    </row>
    <row r="40" spans="1:8" x14ac:dyDescent="0.3">
      <c r="A40" s="2" t="s">
        <v>38</v>
      </c>
      <c r="B40" s="1">
        <v>82.97</v>
      </c>
      <c r="C40" s="1">
        <v>5.01</v>
      </c>
      <c r="D40" s="1">
        <v>87.3</v>
      </c>
      <c r="G40" s="1">
        <f t="shared" si="0"/>
        <v>15.704387990762164</v>
      </c>
      <c r="H40" s="27">
        <f t="shared" si="1"/>
        <v>4.2232101616628146</v>
      </c>
    </row>
    <row r="41" spans="1:8" x14ac:dyDescent="0.3">
      <c r="A41" s="2" t="s">
        <v>39</v>
      </c>
      <c r="B41" s="1">
        <v>83.23</v>
      </c>
      <c r="C41" s="1">
        <v>5</v>
      </c>
      <c r="D41" s="1">
        <v>87.47</v>
      </c>
      <c r="G41" s="1">
        <f t="shared" si="0"/>
        <v>17.924528301886934</v>
      </c>
      <c r="H41" s="27">
        <f t="shared" si="1"/>
        <v>4.1037735849056531</v>
      </c>
    </row>
    <row r="42" spans="1:8" x14ac:dyDescent="0.3">
      <c r="A42" s="2" t="s">
        <v>40</v>
      </c>
      <c r="B42" s="1">
        <v>83.11</v>
      </c>
      <c r="C42" s="1">
        <v>5</v>
      </c>
      <c r="D42" s="1">
        <v>87.34</v>
      </c>
      <c r="G42" s="1">
        <f t="shared" si="0"/>
        <v>18.203309692671283</v>
      </c>
      <c r="H42" s="27">
        <f t="shared" si="1"/>
        <v>4.0898345153664364</v>
      </c>
    </row>
    <row r="43" spans="1:8" x14ac:dyDescent="0.3">
      <c r="A43" s="2" t="s">
        <v>41</v>
      </c>
      <c r="B43" s="1">
        <v>81.069999999999993</v>
      </c>
      <c r="C43" s="1">
        <v>4.99</v>
      </c>
      <c r="D43" s="1">
        <v>85.26</v>
      </c>
      <c r="G43" s="1">
        <f t="shared" si="0"/>
        <v>19.093078758949549</v>
      </c>
      <c r="H43" s="27">
        <f t="shared" si="1"/>
        <v>4.0372553699284177</v>
      </c>
    </row>
    <row r="44" spans="1:8" x14ac:dyDescent="0.3">
      <c r="A44" s="2" t="s">
        <v>42</v>
      </c>
      <c r="B44" s="1">
        <v>81.16</v>
      </c>
      <c r="C44" s="1">
        <v>5</v>
      </c>
      <c r="D44" s="1">
        <v>86.1</v>
      </c>
      <c r="G44" s="1">
        <f t="shared" si="0"/>
        <v>1.2145748987854716</v>
      </c>
      <c r="H44" s="27">
        <f t="shared" si="1"/>
        <v>4.9392712550607261</v>
      </c>
    </row>
    <row r="45" spans="1:8" x14ac:dyDescent="0.3">
      <c r="A45" s="2" t="s">
        <v>43</v>
      </c>
      <c r="B45" s="1">
        <v>83.09</v>
      </c>
      <c r="C45" s="1">
        <v>5.0199999999999996</v>
      </c>
      <c r="D45" s="1">
        <v>87.33</v>
      </c>
      <c r="G45" s="1">
        <f t="shared" si="0"/>
        <v>18.396226415094471</v>
      </c>
      <c r="H45" s="27">
        <f t="shared" si="1"/>
        <v>4.0965094339622574</v>
      </c>
    </row>
    <row r="46" spans="1:8" x14ac:dyDescent="0.3">
      <c r="A46" s="2" t="s">
        <v>44</v>
      </c>
      <c r="B46" s="1">
        <v>82</v>
      </c>
      <c r="C46" s="1">
        <v>5.01</v>
      </c>
      <c r="D46" s="1">
        <v>86.38</v>
      </c>
      <c r="G46" s="1">
        <f t="shared" si="0"/>
        <v>14.38356164383573</v>
      </c>
      <c r="H46" s="27">
        <f t="shared" si="1"/>
        <v>4.2893835616438301</v>
      </c>
    </row>
    <row r="47" spans="1:8" x14ac:dyDescent="0.3">
      <c r="A47" s="2" t="s">
        <v>45</v>
      </c>
      <c r="B47" s="1">
        <v>82.91</v>
      </c>
      <c r="C47" s="1">
        <v>5</v>
      </c>
      <c r="D47" s="1">
        <v>87.26</v>
      </c>
      <c r="G47" s="1">
        <f t="shared" si="0"/>
        <v>14.942528735631958</v>
      </c>
      <c r="H47" s="27">
        <f t="shared" si="1"/>
        <v>4.2528735632184018</v>
      </c>
    </row>
    <row r="48" spans="1:8" x14ac:dyDescent="0.3">
      <c r="A48" s="2" t="s">
        <v>46</v>
      </c>
      <c r="B48" s="1">
        <v>81.14</v>
      </c>
      <c r="C48" s="1">
        <v>4.99</v>
      </c>
      <c r="D48" s="1">
        <v>85.37</v>
      </c>
      <c r="G48" s="1">
        <f t="shared" si="0"/>
        <v>17.966903073285948</v>
      </c>
      <c r="H48" s="27">
        <f t="shared" si="1"/>
        <v>4.0934515366430313</v>
      </c>
    </row>
    <row r="49" spans="1:8" x14ac:dyDescent="0.3">
      <c r="A49" s="2" t="s">
        <v>47</v>
      </c>
      <c r="B49" s="1">
        <v>82.01</v>
      </c>
      <c r="C49" s="1">
        <v>5</v>
      </c>
      <c r="D49" s="1">
        <v>86.28</v>
      </c>
      <c r="G49" s="1">
        <f t="shared" si="0"/>
        <v>17.096018735363106</v>
      </c>
      <c r="H49" s="27">
        <f t="shared" si="1"/>
        <v>4.1451990632318454</v>
      </c>
    </row>
    <row r="50" spans="1:8" x14ac:dyDescent="0.3">
      <c r="A50" s="2" t="s">
        <v>48</v>
      </c>
      <c r="B50" s="1">
        <v>81.290000000000006</v>
      </c>
      <c r="C50" s="1">
        <v>5.01</v>
      </c>
      <c r="D50" s="1">
        <v>85.6</v>
      </c>
      <c r="G50" s="1">
        <f t="shared" si="0"/>
        <v>16.241299303944629</v>
      </c>
      <c r="H50" s="27">
        <f t="shared" si="1"/>
        <v>4.1963109048723739</v>
      </c>
    </row>
    <row r="51" spans="1:8" x14ac:dyDescent="0.3">
      <c r="A51" s="2" t="s">
        <v>49</v>
      </c>
      <c r="B51" s="1">
        <v>81.37</v>
      </c>
      <c r="C51" s="1">
        <v>5</v>
      </c>
      <c r="D51" s="1">
        <v>85.74</v>
      </c>
      <c r="G51" s="1">
        <f t="shared" si="0"/>
        <v>14.416475972540299</v>
      </c>
      <c r="H51" s="27">
        <f t="shared" si="1"/>
        <v>4.2791762013729855</v>
      </c>
    </row>
    <row r="52" spans="1:8" x14ac:dyDescent="0.3">
      <c r="A52" s="2" t="s">
        <v>50</v>
      </c>
      <c r="B52" s="1">
        <v>81.81</v>
      </c>
      <c r="C52" s="1">
        <v>5.0199999999999996</v>
      </c>
      <c r="D52" s="1">
        <v>86.09</v>
      </c>
      <c r="G52" s="1">
        <f t="shared" si="0"/>
        <v>17.289719626168182</v>
      </c>
      <c r="H52" s="27">
        <f t="shared" si="1"/>
        <v>4.1520560747663566</v>
      </c>
    </row>
    <row r="53" spans="1:8" x14ac:dyDescent="0.3">
      <c r="A53" s="2" t="s">
        <v>51</v>
      </c>
      <c r="B53" s="1">
        <v>81</v>
      </c>
      <c r="C53" s="1">
        <v>5.0199999999999996</v>
      </c>
      <c r="D53" s="1">
        <v>85.51</v>
      </c>
      <c r="G53" s="1">
        <f t="shared" si="0"/>
        <v>11.308203991130684</v>
      </c>
      <c r="H53" s="27">
        <f t="shared" si="1"/>
        <v>4.4523281596452389</v>
      </c>
    </row>
    <row r="54" spans="1:8" x14ac:dyDescent="0.3">
      <c r="A54" s="2" t="s">
        <v>52</v>
      </c>
      <c r="B54" s="1">
        <v>82.58</v>
      </c>
      <c r="C54" s="1">
        <v>5.0199999999999996</v>
      </c>
      <c r="D54" s="1">
        <v>86.69</v>
      </c>
      <c r="G54" s="1">
        <f t="shared" si="0"/>
        <v>22.141119221411198</v>
      </c>
      <c r="H54" s="27">
        <f t="shared" si="1"/>
        <v>3.9085158150851571</v>
      </c>
    </row>
    <row r="55" spans="1:8" x14ac:dyDescent="0.3">
      <c r="A55" s="2" t="s">
        <v>53</v>
      </c>
      <c r="B55" s="1">
        <v>82.93</v>
      </c>
      <c r="C55" s="1">
        <v>5.0199999999999996</v>
      </c>
      <c r="D55" s="1">
        <v>87.18</v>
      </c>
      <c r="G55" s="1">
        <f t="shared" si="0"/>
        <v>18.117647058823518</v>
      </c>
      <c r="H55" s="27">
        <f t="shared" si="1"/>
        <v>4.1104941176470593</v>
      </c>
    </row>
    <row r="56" spans="1:8" x14ac:dyDescent="0.3">
      <c r="A56" s="2" t="s">
        <v>54</v>
      </c>
      <c r="B56" s="1">
        <v>82.75</v>
      </c>
      <c r="C56" s="1">
        <v>5</v>
      </c>
      <c r="D56" s="1">
        <v>86.96</v>
      </c>
      <c r="G56" s="1">
        <f t="shared" si="0"/>
        <v>18.764845605700888</v>
      </c>
      <c r="H56" s="27">
        <f t="shared" si="1"/>
        <v>4.0617577197149561</v>
      </c>
    </row>
    <row r="57" spans="1:8" x14ac:dyDescent="0.3">
      <c r="A57" s="2" t="s">
        <v>55</v>
      </c>
      <c r="B57" s="1">
        <v>81.900000000000006</v>
      </c>
      <c r="C57" s="1">
        <v>4.99</v>
      </c>
      <c r="D57" s="1">
        <v>86.17</v>
      </c>
      <c r="G57" s="1">
        <f t="shared" si="0"/>
        <v>16.861826697892386</v>
      </c>
      <c r="H57" s="27">
        <f t="shared" si="1"/>
        <v>4.1485948477751702</v>
      </c>
    </row>
    <row r="58" spans="1:8" x14ac:dyDescent="0.3">
      <c r="A58" s="2" t="s">
        <v>56</v>
      </c>
      <c r="B58" s="1">
        <v>83.17</v>
      </c>
      <c r="C58" s="1">
        <v>5.01</v>
      </c>
      <c r="D58" s="1">
        <v>87.35</v>
      </c>
      <c r="G58" s="1">
        <f t="shared" si="0"/>
        <v>19.856459330143746</v>
      </c>
      <c r="H58" s="27">
        <f t="shared" si="1"/>
        <v>4.0151913875597982</v>
      </c>
    </row>
    <row r="59" spans="1:8" x14ac:dyDescent="0.3">
      <c r="A59" s="2" t="s">
        <v>57</v>
      </c>
      <c r="B59" s="1">
        <v>81.7</v>
      </c>
      <c r="C59" s="1">
        <v>4.99</v>
      </c>
      <c r="D59" s="1">
        <v>85.98</v>
      </c>
      <c r="G59" s="1">
        <f t="shared" si="0"/>
        <v>16.588785046728947</v>
      </c>
      <c r="H59" s="27">
        <f t="shared" si="1"/>
        <v>4.162219626168226</v>
      </c>
    </row>
    <row r="60" spans="1:8" x14ac:dyDescent="0.3">
      <c r="A60" s="2" t="s">
        <v>58</v>
      </c>
      <c r="B60" s="1">
        <v>81.88</v>
      </c>
      <c r="C60" s="1">
        <v>5</v>
      </c>
      <c r="D60" s="1">
        <v>86.11</v>
      </c>
      <c r="G60" s="1">
        <f t="shared" si="0"/>
        <v>18.203309692671283</v>
      </c>
      <c r="H60" s="27">
        <f t="shared" si="1"/>
        <v>4.0898345153664364</v>
      </c>
    </row>
    <row r="61" spans="1:8" x14ac:dyDescent="0.3">
      <c r="A61" s="2" t="s">
        <v>59</v>
      </c>
      <c r="B61" s="1">
        <v>83.22</v>
      </c>
      <c r="C61" s="1">
        <v>4.99</v>
      </c>
      <c r="D61" s="1">
        <v>87.4</v>
      </c>
      <c r="G61" s="1">
        <f t="shared" si="0"/>
        <v>19.377990430621821</v>
      </c>
      <c r="H61" s="27">
        <f t="shared" si="1"/>
        <v>4.0230382775119713</v>
      </c>
    </row>
    <row r="62" spans="1:8" x14ac:dyDescent="0.3">
      <c r="A62" s="2" t="s">
        <v>60</v>
      </c>
      <c r="B62" s="1">
        <v>83.04</v>
      </c>
      <c r="C62" s="1">
        <v>5.0199999999999996</v>
      </c>
      <c r="D62" s="1">
        <v>87.12</v>
      </c>
      <c r="G62" s="1">
        <f t="shared" si="0"/>
        <v>23.039215686274552</v>
      </c>
      <c r="H62" s="27">
        <f t="shared" si="1"/>
        <v>3.8634313725490173</v>
      </c>
    </row>
    <row r="63" spans="1:8" x14ac:dyDescent="0.3">
      <c r="A63" s="2" t="s">
        <v>61</v>
      </c>
      <c r="B63" s="1">
        <v>81.66</v>
      </c>
      <c r="C63" s="1">
        <v>5.01</v>
      </c>
      <c r="D63" s="1">
        <v>85.92</v>
      </c>
      <c r="G63" s="1">
        <f t="shared" si="0"/>
        <v>17.605633802816754</v>
      </c>
      <c r="H63" s="27">
        <f t="shared" si="1"/>
        <v>4.1279577464788808</v>
      </c>
    </row>
    <row r="64" spans="1:8" x14ac:dyDescent="0.3">
      <c r="A64" s="2" t="s">
        <v>62</v>
      </c>
      <c r="B64" s="1">
        <v>82.63</v>
      </c>
      <c r="C64" s="1">
        <v>5</v>
      </c>
      <c r="D64" s="1">
        <v>86.91</v>
      </c>
      <c r="G64" s="1">
        <f t="shared" si="0"/>
        <v>16.822429906542023</v>
      </c>
      <c r="H64" s="27">
        <f t="shared" si="1"/>
        <v>4.1588785046728987</v>
      </c>
    </row>
    <row r="65" spans="1:8" x14ac:dyDescent="0.3">
      <c r="A65" s="2" t="s">
        <v>63</v>
      </c>
      <c r="B65" s="1">
        <v>82.93</v>
      </c>
      <c r="C65" s="1">
        <v>4.9800000000000004</v>
      </c>
      <c r="D65" s="1">
        <v>87.24</v>
      </c>
      <c r="G65" s="1">
        <f t="shared" si="0"/>
        <v>15.54524361948989</v>
      </c>
      <c r="H65" s="27">
        <f t="shared" si="1"/>
        <v>4.2058468677494032</v>
      </c>
    </row>
    <row r="66" spans="1:8" x14ac:dyDescent="0.3">
      <c r="A66" s="2" t="s">
        <v>64</v>
      </c>
      <c r="B66" s="1">
        <v>81.709999999999994</v>
      </c>
      <c r="C66" s="1">
        <v>4.9800000000000004</v>
      </c>
      <c r="D66" s="1">
        <v>85.9</v>
      </c>
      <c r="G66" s="1">
        <f t="shared" si="0"/>
        <v>18.854415274462678</v>
      </c>
      <c r="H66" s="27">
        <f t="shared" si="1"/>
        <v>4.0410501193317589</v>
      </c>
    </row>
    <row r="67" spans="1:8" x14ac:dyDescent="0.3">
      <c r="A67" s="2" t="s">
        <v>65</v>
      </c>
      <c r="B67" s="1">
        <v>81.7</v>
      </c>
      <c r="C67" s="1">
        <v>5</v>
      </c>
      <c r="D67" s="1">
        <v>85.95</v>
      </c>
      <c r="G67" s="1">
        <f t="shared" ref="G67:G86" si="2">100*(C67-(D67-B67))/(D67-B67)</f>
        <v>17.647058823529413</v>
      </c>
      <c r="H67" s="27">
        <f t="shared" ref="H67:H86" si="3">C67*(100-G67)/100</f>
        <v>4.117647058823529</v>
      </c>
    </row>
    <row r="68" spans="1:8" x14ac:dyDescent="0.3">
      <c r="A68" s="2" t="s">
        <v>66</v>
      </c>
      <c r="B68" s="1">
        <v>82.03</v>
      </c>
      <c r="C68" s="1">
        <v>5</v>
      </c>
      <c r="D68" s="1">
        <v>86.25</v>
      </c>
      <c r="G68" s="1">
        <f t="shared" si="2"/>
        <v>18.483412322274912</v>
      </c>
      <c r="H68" s="27">
        <f t="shared" si="3"/>
        <v>4.075829383886254</v>
      </c>
    </row>
    <row r="69" spans="1:8" x14ac:dyDescent="0.3">
      <c r="A69" s="2" t="s">
        <v>67</v>
      </c>
      <c r="B69" s="1">
        <v>82.59</v>
      </c>
      <c r="C69" s="1">
        <v>4.99</v>
      </c>
      <c r="D69" s="1">
        <v>86.96</v>
      </c>
      <c r="G69" s="1">
        <f t="shared" si="2"/>
        <v>14.187643020595223</v>
      </c>
      <c r="H69" s="27">
        <f t="shared" si="3"/>
        <v>4.2820366132722993</v>
      </c>
    </row>
    <row r="70" spans="1:8" x14ac:dyDescent="0.3">
      <c r="A70" s="2" t="s">
        <v>68</v>
      </c>
      <c r="B70" s="1">
        <v>82.87</v>
      </c>
      <c r="C70" s="1">
        <v>5</v>
      </c>
      <c r="D70" s="1">
        <v>87.12</v>
      </c>
      <c r="G70" s="1">
        <f t="shared" si="2"/>
        <v>17.647058823529413</v>
      </c>
      <c r="H70" s="27">
        <f t="shared" si="3"/>
        <v>4.117647058823529</v>
      </c>
    </row>
    <row r="71" spans="1:8" x14ac:dyDescent="0.3">
      <c r="A71" s="2" t="s">
        <v>69</v>
      </c>
      <c r="B71" s="1">
        <v>81.33</v>
      </c>
      <c r="C71" s="1">
        <v>5.01</v>
      </c>
      <c r="D71" s="1">
        <v>85.61</v>
      </c>
      <c r="G71" s="1">
        <f t="shared" si="2"/>
        <v>17.056074766355103</v>
      </c>
      <c r="H71" s="27">
        <f t="shared" si="3"/>
        <v>4.15549065420561</v>
      </c>
    </row>
    <row r="72" spans="1:8" x14ac:dyDescent="0.3">
      <c r="A72" s="2" t="s">
        <v>70</v>
      </c>
      <c r="B72" s="1">
        <v>82.99</v>
      </c>
      <c r="C72" s="1">
        <v>4.99</v>
      </c>
      <c r="D72" s="1">
        <v>87.35</v>
      </c>
      <c r="G72" s="1">
        <f t="shared" si="2"/>
        <v>14.44954128440369</v>
      </c>
      <c r="H72" s="27">
        <f t="shared" si="3"/>
        <v>4.2689678899082564</v>
      </c>
    </row>
    <row r="73" spans="1:8" x14ac:dyDescent="0.3">
      <c r="A73" s="2" t="s">
        <v>71</v>
      </c>
      <c r="B73" s="1">
        <v>83.19</v>
      </c>
      <c r="C73" s="1">
        <v>5.03</v>
      </c>
      <c r="D73" s="1">
        <v>87.63</v>
      </c>
      <c r="G73" s="1">
        <f t="shared" si="2"/>
        <v>13.288288288288353</v>
      </c>
      <c r="H73" s="27">
        <f t="shared" si="3"/>
        <v>4.361599099099096</v>
      </c>
    </row>
    <row r="74" spans="1:8" x14ac:dyDescent="0.3">
      <c r="A74" s="2" t="s">
        <v>72</v>
      </c>
      <c r="B74" s="1">
        <v>81.53</v>
      </c>
      <c r="C74" s="1">
        <v>5.0199999999999996</v>
      </c>
      <c r="D74" s="1">
        <v>85.96</v>
      </c>
      <c r="G74" s="1">
        <f t="shared" si="2"/>
        <v>13.318284424379412</v>
      </c>
      <c r="H74" s="27">
        <f t="shared" si="3"/>
        <v>4.3514221218961531</v>
      </c>
    </row>
    <row r="75" spans="1:8" x14ac:dyDescent="0.3">
      <c r="A75" s="2" t="s">
        <v>73</v>
      </c>
      <c r="B75" s="1">
        <v>81.14</v>
      </c>
      <c r="C75" s="1">
        <v>5.0199999999999996</v>
      </c>
      <c r="D75" s="1">
        <v>85.53</v>
      </c>
      <c r="G75" s="1">
        <f t="shared" si="2"/>
        <v>14.350797266514782</v>
      </c>
      <c r="H75" s="27">
        <f t="shared" si="3"/>
        <v>4.2995899772209576</v>
      </c>
    </row>
    <row r="76" spans="1:8" x14ac:dyDescent="0.3">
      <c r="A76" s="2" t="s">
        <v>74</v>
      </c>
      <c r="B76" s="1">
        <v>81.99</v>
      </c>
      <c r="C76" s="1">
        <v>5</v>
      </c>
      <c r="D76" s="1">
        <v>86.45</v>
      </c>
      <c r="G76" s="1">
        <f t="shared" si="2"/>
        <v>12.10762331838545</v>
      </c>
      <c r="H76" s="27">
        <f t="shared" si="3"/>
        <v>4.3946188340807275</v>
      </c>
    </row>
    <row r="77" spans="1:8" x14ac:dyDescent="0.3">
      <c r="A77" s="2" t="s">
        <v>75</v>
      </c>
      <c r="B77" s="1">
        <v>81.760000000000005</v>
      </c>
      <c r="C77" s="1">
        <v>5.01</v>
      </c>
      <c r="D77" s="1">
        <v>86.06</v>
      </c>
      <c r="G77" s="1">
        <f t="shared" si="2"/>
        <v>16.511627906976816</v>
      </c>
      <c r="H77" s="27">
        <f t="shared" si="3"/>
        <v>4.1827674418604612</v>
      </c>
    </row>
    <row r="78" spans="1:8" x14ac:dyDescent="0.3">
      <c r="A78" s="2" t="s">
        <v>76</v>
      </c>
      <c r="B78" s="1">
        <v>81.19</v>
      </c>
      <c r="C78" s="1">
        <v>5</v>
      </c>
      <c r="D78" s="1">
        <v>85.37</v>
      </c>
      <c r="G78" s="1">
        <f t="shared" si="2"/>
        <v>19.617224880382579</v>
      </c>
      <c r="H78" s="27">
        <f t="shared" si="3"/>
        <v>4.0191387559808707</v>
      </c>
    </row>
    <row r="79" spans="1:8" x14ac:dyDescent="0.3">
      <c r="A79" s="2" t="s">
        <v>77</v>
      </c>
      <c r="B79" s="1">
        <v>81.459999999999994</v>
      </c>
      <c r="C79" s="1">
        <v>5</v>
      </c>
      <c r="D79" s="1">
        <v>85.79</v>
      </c>
      <c r="G79" s="1">
        <f t="shared" si="2"/>
        <v>15.473441108544701</v>
      </c>
      <c r="H79" s="27">
        <f t="shared" si="3"/>
        <v>4.2263279445727644</v>
      </c>
    </row>
    <row r="80" spans="1:8" x14ac:dyDescent="0.3">
      <c r="A80" s="2" t="s">
        <v>78</v>
      </c>
      <c r="B80" s="1">
        <v>83.1</v>
      </c>
      <c r="C80" s="1">
        <v>5</v>
      </c>
      <c r="D80" s="1">
        <v>87.39</v>
      </c>
      <c r="G80" s="1">
        <f t="shared" si="2"/>
        <v>16.550116550116382</v>
      </c>
      <c r="H80" s="27">
        <f t="shared" si="3"/>
        <v>4.1724941724941802</v>
      </c>
    </row>
    <row r="81" spans="1:8" x14ac:dyDescent="0.3">
      <c r="A81" s="2" t="s">
        <v>79</v>
      </c>
      <c r="B81" s="1">
        <v>83.05</v>
      </c>
      <c r="C81" s="1">
        <v>5</v>
      </c>
      <c r="D81" s="1">
        <v>87.45</v>
      </c>
      <c r="G81" s="1">
        <f t="shared" si="2"/>
        <v>13.636363636363489</v>
      </c>
      <c r="H81" s="27">
        <f t="shared" si="3"/>
        <v>4.3181818181818254</v>
      </c>
    </row>
    <row r="82" spans="1:8" x14ac:dyDescent="0.3">
      <c r="A82" s="2" t="s">
        <v>80</v>
      </c>
      <c r="B82" s="1">
        <v>82.82</v>
      </c>
      <c r="C82" s="1">
        <v>5</v>
      </c>
      <c r="D82" s="1">
        <v>87.29</v>
      </c>
      <c r="G82" s="1">
        <f t="shared" si="2"/>
        <v>11.856823266218912</v>
      </c>
      <c r="H82" s="27">
        <f t="shared" si="3"/>
        <v>4.4071588366890548</v>
      </c>
    </row>
    <row r="83" spans="1:8" x14ac:dyDescent="0.3">
      <c r="A83" s="2" t="s">
        <v>179</v>
      </c>
      <c r="B83" s="1">
        <v>82.198285714285674</v>
      </c>
      <c r="C83" s="1">
        <v>5.0069880952380945</v>
      </c>
      <c r="D83" s="1">
        <v>86.531428571428577</v>
      </c>
      <c r="E83" s="1"/>
      <c r="F83" s="1"/>
      <c r="G83" s="1">
        <f t="shared" si="2"/>
        <v>15.550958283879371</v>
      </c>
      <c r="H83" s="27">
        <f t="shared" si="3"/>
        <v>4.2283534652688122</v>
      </c>
    </row>
    <row r="84" spans="1:8" x14ac:dyDescent="0.3">
      <c r="A84" s="2" t="s">
        <v>81</v>
      </c>
      <c r="B84" s="1">
        <v>82.46</v>
      </c>
      <c r="C84" s="1">
        <v>5.01</v>
      </c>
      <c r="D84" s="1">
        <v>86.77</v>
      </c>
      <c r="G84" s="1">
        <f t="shared" si="2"/>
        <v>16.241299303944249</v>
      </c>
      <c r="H84" s="27">
        <f t="shared" si="3"/>
        <v>4.1963109048723934</v>
      </c>
    </row>
    <row r="85" spans="1:8" x14ac:dyDescent="0.3">
      <c r="A85" s="2" t="s">
        <v>82</v>
      </c>
      <c r="B85" s="1">
        <v>81.94</v>
      </c>
      <c r="C85" s="1">
        <v>5.01</v>
      </c>
      <c r="D85" s="1">
        <v>86.17</v>
      </c>
      <c r="G85" s="1">
        <f t="shared" si="2"/>
        <v>18.439716312056621</v>
      </c>
      <c r="H85" s="27">
        <f t="shared" si="3"/>
        <v>4.0861702127659632</v>
      </c>
    </row>
    <row r="86" spans="1:8" x14ac:dyDescent="0.3">
      <c r="A86" s="2" t="s">
        <v>83</v>
      </c>
      <c r="B86" s="1">
        <v>81.98</v>
      </c>
      <c r="C86" s="1">
        <v>5.01</v>
      </c>
      <c r="D86" s="1">
        <v>86.19</v>
      </c>
      <c r="G86" s="1">
        <f t="shared" si="2"/>
        <v>19.002375296912284</v>
      </c>
      <c r="H86" s="27">
        <f t="shared" si="3"/>
        <v>4.0579809976246946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C145-0F8B-4659-920E-12DC049AC770}">
  <dimension ref="A1:J97"/>
  <sheetViews>
    <sheetView topLeftCell="A74" workbookViewId="0">
      <selection activeCell="H9" sqref="H9:J93"/>
    </sheetView>
  </sheetViews>
  <sheetFormatPr baseColWidth="10" defaultRowHeight="14.4" x14ac:dyDescent="0.3"/>
  <cols>
    <col min="1" max="1" width="13.77734375" customWidth="1"/>
    <col min="2" max="2" width="19.109375" customWidth="1"/>
    <col min="3" max="3" width="22.109375" customWidth="1"/>
    <col min="4" max="4" width="19.21875" customWidth="1"/>
    <col min="5" max="6" width="19.109375" customWidth="1"/>
    <col min="7" max="7" width="15.109375" bestFit="1" customWidth="1"/>
    <col min="8" max="8" width="19.21875" customWidth="1"/>
    <col min="9" max="10" width="19.109375" customWidth="1"/>
  </cols>
  <sheetData>
    <row r="1" spans="1:10" ht="15.6" x14ac:dyDescent="0.3">
      <c r="A1" s="40" t="s">
        <v>89</v>
      </c>
      <c r="B1" s="40"/>
      <c r="C1" s="40"/>
      <c r="D1" s="40"/>
      <c r="E1" s="40"/>
      <c r="F1" s="40"/>
    </row>
    <row r="2" spans="1:10" ht="16.2" x14ac:dyDescent="0.3">
      <c r="A2" s="41" t="s">
        <v>90</v>
      </c>
      <c r="B2" s="41"/>
      <c r="C2" s="41"/>
      <c r="D2" s="41"/>
      <c r="E2" s="41"/>
      <c r="F2" s="41"/>
    </row>
    <row r="3" spans="1:10" ht="15" thickBot="1" x14ac:dyDescent="0.35">
      <c r="A3" s="42"/>
      <c r="B3" s="42"/>
      <c r="C3" s="42"/>
      <c r="D3" s="42"/>
      <c r="E3" s="42"/>
      <c r="F3" s="42"/>
    </row>
    <row r="4" spans="1:10" ht="19.2" thickBot="1" x14ac:dyDescent="0.45">
      <c r="B4" s="43"/>
      <c r="C4" s="44"/>
      <c r="D4" s="4" t="s">
        <v>91</v>
      </c>
      <c r="E4" s="4" t="s">
        <v>92</v>
      </c>
      <c r="F4" s="26" t="s">
        <v>187</v>
      </c>
      <c r="G4" t="s">
        <v>188</v>
      </c>
      <c r="H4" s="4" t="s">
        <v>189</v>
      </c>
      <c r="I4" s="4" t="s">
        <v>92</v>
      </c>
      <c r="J4" s="26" t="s">
        <v>187</v>
      </c>
    </row>
    <row r="5" spans="1:10" x14ac:dyDescent="0.3">
      <c r="A5" s="5"/>
      <c r="B5" s="45" t="s">
        <v>93</v>
      </c>
      <c r="C5" s="46"/>
      <c r="D5" s="6">
        <v>2E-3</v>
      </c>
      <c r="E5" s="7">
        <v>6.0000000000000001E-3</v>
      </c>
    </row>
    <row r="6" spans="1:10" x14ac:dyDescent="0.3">
      <c r="A6" s="5"/>
      <c r="B6" s="38"/>
      <c r="C6" s="39"/>
      <c r="D6" s="8"/>
      <c r="E6" s="9"/>
    </row>
    <row r="7" spans="1:10" x14ac:dyDescent="0.3">
      <c r="A7" s="5"/>
      <c r="B7" s="38" t="s">
        <v>94</v>
      </c>
      <c r="C7" s="39"/>
      <c r="D7" s="10">
        <v>8</v>
      </c>
      <c r="E7" s="11">
        <v>7.5</v>
      </c>
    </row>
    <row r="8" spans="1:10" ht="16.2" thickBot="1" x14ac:dyDescent="0.35">
      <c r="B8" s="12" t="s">
        <v>95</v>
      </c>
      <c r="C8" s="12" t="s">
        <v>96</v>
      </c>
      <c r="D8" s="13"/>
      <c r="E8" s="14"/>
      <c r="F8" s="15"/>
    </row>
    <row r="9" spans="1:10" ht="15.6" x14ac:dyDescent="0.3">
      <c r="B9" s="16" t="s">
        <v>97</v>
      </c>
      <c r="C9" s="16" t="s">
        <v>0</v>
      </c>
      <c r="D9" s="17">
        <v>0.36099999999999999</v>
      </c>
      <c r="E9" s="18">
        <v>0.36</v>
      </c>
      <c r="F9" s="25">
        <f>D9+E9</f>
        <v>0.72099999999999997</v>
      </c>
      <c r="G9" s="28">
        <v>4.3668243243243214</v>
      </c>
      <c r="H9" s="28">
        <f>D9*0.05/($G9/1000)</f>
        <v>4.1334385492580754</v>
      </c>
      <c r="I9" s="28">
        <f>E9*0.05/($G9/1000)</f>
        <v>4.1219885809775816</v>
      </c>
      <c r="J9" s="28">
        <f>F9*0.05/($G9/1000)</f>
        <v>8.2554271302356579</v>
      </c>
    </row>
    <row r="10" spans="1:10" ht="15.6" x14ac:dyDescent="0.3">
      <c r="B10" s="19" t="s">
        <v>98</v>
      </c>
      <c r="C10" s="19" t="s">
        <v>1</v>
      </c>
      <c r="D10" s="20">
        <v>0.29399999999999998</v>
      </c>
      <c r="E10" s="21">
        <v>0.185</v>
      </c>
      <c r="F10" s="25">
        <f t="shared" ref="F10:F73" si="0">D10+E10</f>
        <v>0.47899999999999998</v>
      </c>
      <c r="G10" s="28">
        <v>4.5900647948164099</v>
      </c>
      <c r="H10" s="28">
        <f t="shared" ref="H10:H73" si="1">D10*0.05/($G10/1000)</f>
        <v>3.2025691699604772</v>
      </c>
      <c r="I10" s="28">
        <f t="shared" ref="I10:I73" si="2">E10*0.05/($G10/1000)</f>
        <v>2.0152220967438379</v>
      </c>
      <c r="J10" s="28">
        <f t="shared" ref="J10:J73" si="3">F10*0.05/($G10/1000)</f>
        <v>5.2177912667043147</v>
      </c>
    </row>
    <row r="11" spans="1:10" ht="15.6" x14ac:dyDescent="0.3">
      <c r="B11" s="19" t="s">
        <v>99</v>
      </c>
      <c r="C11" s="19" t="s">
        <v>2</v>
      </c>
      <c r="D11" s="20">
        <v>0.25800000000000001</v>
      </c>
      <c r="E11" s="21">
        <v>0.29099999999999998</v>
      </c>
      <c r="F11" s="25">
        <f t="shared" si="0"/>
        <v>0.54899999999999993</v>
      </c>
      <c r="G11" s="28">
        <v>4.5559782608695585</v>
      </c>
      <c r="H11" s="28">
        <f t="shared" si="1"/>
        <v>2.8314445902421617</v>
      </c>
      <c r="I11" s="28">
        <f t="shared" si="2"/>
        <v>3.1936061075987165</v>
      </c>
      <c r="J11" s="28">
        <f t="shared" si="3"/>
        <v>6.0250506978408778</v>
      </c>
    </row>
    <row r="12" spans="1:10" ht="15.6" x14ac:dyDescent="0.3">
      <c r="B12" s="19" t="s">
        <v>100</v>
      </c>
      <c r="C12" s="19" t="s">
        <v>3</v>
      </c>
      <c r="D12" s="20">
        <v>0.26900000000000002</v>
      </c>
      <c r="E12" s="21">
        <v>0.26100000000000001</v>
      </c>
      <c r="F12" s="25">
        <f t="shared" si="0"/>
        <v>0.53</v>
      </c>
      <c r="G12" s="28">
        <v>4.4219419642857192</v>
      </c>
      <c r="H12" s="28">
        <f t="shared" si="1"/>
        <v>3.0416500507311821</v>
      </c>
      <c r="I12" s="28">
        <f t="shared" si="2"/>
        <v>2.9511920566573924</v>
      </c>
      <c r="J12" s="28">
        <f t="shared" si="3"/>
        <v>5.992842107388574</v>
      </c>
    </row>
    <row r="13" spans="1:10" ht="15.6" x14ac:dyDescent="0.3">
      <c r="B13" s="19" t="s">
        <v>101</v>
      </c>
      <c r="C13" s="19" t="s">
        <v>4</v>
      </c>
      <c r="D13" s="20">
        <v>0.26400000000000001</v>
      </c>
      <c r="E13" s="21">
        <v>0.156</v>
      </c>
      <c r="F13" s="25">
        <f t="shared" si="0"/>
        <v>0.42000000000000004</v>
      </c>
      <c r="G13" s="28">
        <v>4.4748123620309066</v>
      </c>
      <c r="H13" s="28">
        <f t="shared" si="1"/>
        <v>2.9498443581686056</v>
      </c>
      <c r="I13" s="28">
        <f t="shared" si="2"/>
        <v>1.7430898480087214</v>
      </c>
      <c r="J13" s="28">
        <f t="shared" si="3"/>
        <v>4.6929342061773269</v>
      </c>
    </row>
    <row r="14" spans="1:10" ht="15.6" x14ac:dyDescent="0.3">
      <c r="B14" s="19" t="s">
        <v>102</v>
      </c>
      <c r="C14" s="19" t="s">
        <v>5</v>
      </c>
      <c r="D14" s="20">
        <v>0.17599999999999999</v>
      </c>
      <c r="E14" s="21">
        <v>0.13500000000000001</v>
      </c>
      <c r="F14" s="25">
        <f t="shared" si="0"/>
        <v>0.311</v>
      </c>
      <c r="G14" s="28">
        <v>4.547821350762514</v>
      </c>
      <c r="H14" s="28">
        <f t="shared" si="1"/>
        <v>1.9349924549091053</v>
      </c>
      <c r="I14" s="28">
        <f t="shared" si="2"/>
        <v>1.4842271671177798</v>
      </c>
      <c r="J14" s="28">
        <f t="shared" si="3"/>
        <v>3.4192196220268851</v>
      </c>
    </row>
    <row r="15" spans="1:10" ht="15.6" x14ac:dyDescent="0.3">
      <c r="B15" s="19" t="s">
        <v>103</v>
      </c>
      <c r="C15" s="19" t="s">
        <v>6</v>
      </c>
      <c r="D15" s="20">
        <v>0.28100000000000003</v>
      </c>
      <c r="E15" s="21">
        <v>0.13900000000000001</v>
      </c>
      <c r="F15" s="25">
        <f t="shared" si="0"/>
        <v>0.42000000000000004</v>
      </c>
      <c r="G15" s="28">
        <v>4.551568627450985</v>
      </c>
      <c r="H15" s="28">
        <f t="shared" si="1"/>
        <v>3.0868478869598905</v>
      </c>
      <c r="I15" s="28">
        <f t="shared" si="2"/>
        <v>1.52694610778443</v>
      </c>
      <c r="J15" s="28">
        <f t="shared" si="3"/>
        <v>4.6137939947443209</v>
      </c>
    </row>
    <row r="16" spans="1:10" ht="15.6" x14ac:dyDescent="0.3">
      <c r="B16" s="19" t="s">
        <v>104</v>
      </c>
      <c r="C16" s="19" t="s">
        <v>7</v>
      </c>
      <c r="D16" s="20">
        <v>0.42699999999999999</v>
      </c>
      <c r="E16" s="21">
        <v>0.53</v>
      </c>
      <c r="F16" s="25">
        <f t="shared" si="0"/>
        <v>0.95700000000000007</v>
      </c>
      <c r="G16" s="28">
        <v>4.2528735632184018</v>
      </c>
      <c r="H16" s="28">
        <f t="shared" si="1"/>
        <v>5.0201351351351224</v>
      </c>
      <c r="I16" s="28">
        <f t="shared" si="2"/>
        <v>6.231081081081066</v>
      </c>
      <c r="J16" s="28">
        <f t="shared" si="3"/>
        <v>11.251216216216189</v>
      </c>
    </row>
    <row r="17" spans="2:10" ht="15.6" x14ac:dyDescent="0.3">
      <c r="B17" s="19" t="s">
        <v>105</v>
      </c>
      <c r="C17" s="19" t="s">
        <v>8</v>
      </c>
      <c r="D17" s="20">
        <v>0.154</v>
      </c>
      <c r="E17" s="21">
        <v>0.17399999999999999</v>
      </c>
      <c r="F17" s="25">
        <f t="shared" si="0"/>
        <v>0.32799999999999996</v>
      </c>
      <c r="G17" s="28">
        <v>4.3181818181818077</v>
      </c>
      <c r="H17" s="28">
        <f t="shared" si="1"/>
        <v>1.7831578947368465</v>
      </c>
      <c r="I17" s="28">
        <f t="shared" si="2"/>
        <v>2.0147368421052678</v>
      </c>
      <c r="J17" s="28">
        <f t="shared" si="3"/>
        <v>3.7978947368421139</v>
      </c>
    </row>
    <row r="18" spans="2:10" ht="15.6" x14ac:dyDescent="0.3">
      <c r="B18" s="19" t="s">
        <v>106</v>
      </c>
      <c r="C18" s="19" t="s">
        <v>9</v>
      </c>
      <c r="D18" s="20">
        <v>0.58299999999999996</v>
      </c>
      <c r="E18" s="21">
        <v>9.7000000000000003E-2</v>
      </c>
      <c r="F18" s="25">
        <f t="shared" si="0"/>
        <v>0.67999999999999994</v>
      </c>
      <c r="G18" s="28">
        <v>4.2922374429223682</v>
      </c>
      <c r="H18" s="28">
        <f t="shared" si="1"/>
        <v>6.7913297872340523</v>
      </c>
      <c r="I18" s="28">
        <f t="shared" si="2"/>
        <v>1.1299468085106401</v>
      </c>
      <c r="J18" s="28">
        <f t="shared" si="3"/>
        <v>7.9212765957446916</v>
      </c>
    </row>
    <row r="19" spans="2:10" ht="15.6" x14ac:dyDescent="0.3">
      <c r="B19" s="19" t="s">
        <v>107</v>
      </c>
      <c r="C19" s="19" t="s">
        <v>10</v>
      </c>
      <c r="D19" s="20">
        <v>0.373</v>
      </c>
      <c r="E19" s="21">
        <v>0.17899999999999999</v>
      </c>
      <c r="F19" s="25">
        <f t="shared" si="0"/>
        <v>0.55200000000000005</v>
      </c>
      <c r="G19" s="28">
        <v>4.2791762013730033</v>
      </c>
      <c r="H19" s="28">
        <f t="shared" si="1"/>
        <v>4.3583155080213842</v>
      </c>
      <c r="I19" s="28">
        <f t="shared" si="2"/>
        <v>2.0915240641711201</v>
      </c>
      <c r="J19" s="28">
        <f t="shared" si="3"/>
        <v>6.4498395721925057</v>
      </c>
    </row>
    <row r="20" spans="2:10" ht="15.6" x14ac:dyDescent="0.3">
      <c r="B20" s="19" t="s">
        <v>108</v>
      </c>
      <c r="C20" s="19" t="s">
        <v>11</v>
      </c>
      <c r="D20" s="20">
        <v>0.64100000000000001</v>
      </c>
      <c r="E20" s="21">
        <v>0.371</v>
      </c>
      <c r="F20" s="25">
        <f t="shared" si="0"/>
        <v>1.012</v>
      </c>
      <c r="G20" s="28">
        <v>4.3154318181818079</v>
      </c>
      <c r="H20" s="28">
        <f t="shared" si="1"/>
        <v>7.4268349843848114</v>
      </c>
      <c r="I20" s="28">
        <f t="shared" si="2"/>
        <v>4.2985269566408189</v>
      </c>
      <c r="J20" s="28">
        <f t="shared" si="3"/>
        <v>11.72536194102563</v>
      </c>
    </row>
    <row r="21" spans="2:10" ht="15.6" x14ac:dyDescent="0.3">
      <c r="B21" s="19" t="s">
        <v>109</v>
      </c>
      <c r="C21" s="19" t="s">
        <v>12</v>
      </c>
      <c r="D21" s="20">
        <v>0.61499999999999999</v>
      </c>
      <c r="E21" s="21">
        <v>0.42299999999999999</v>
      </c>
      <c r="F21" s="25">
        <f t="shared" si="0"/>
        <v>1.038</v>
      </c>
      <c r="G21" s="28">
        <v>4.1794418604651318</v>
      </c>
      <c r="H21" s="28">
        <f t="shared" si="1"/>
        <v>7.3574417414142035</v>
      </c>
      <c r="I21" s="28">
        <f t="shared" si="2"/>
        <v>5.060484319704404</v>
      </c>
      <c r="J21" s="28">
        <f t="shared" si="3"/>
        <v>12.417926061118607</v>
      </c>
    </row>
    <row r="22" spans="2:10" ht="15.6" x14ac:dyDescent="0.3">
      <c r="B22" s="19" t="s">
        <v>110</v>
      </c>
      <c r="C22" s="19" t="s">
        <v>13</v>
      </c>
      <c r="D22" s="20">
        <v>0.39600000000000002</v>
      </c>
      <c r="E22" s="21">
        <v>0.17299999999999999</v>
      </c>
      <c r="F22" s="25">
        <f t="shared" si="0"/>
        <v>0.56899999999999995</v>
      </c>
      <c r="G22" s="28">
        <v>4.4149107142857194</v>
      </c>
      <c r="H22" s="28">
        <f t="shared" si="1"/>
        <v>4.4848019091148048</v>
      </c>
      <c r="I22" s="28">
        <f t="shared" si="2"/>
        <v>1.9592695209011646</v>
      </c>
      <c r="J22" s="28">
        <f t="shared" si="3"/>
        <v>6.4440714300159696</v>
      </c>
    </row>
    <row r="23" spans="2:10" ht="15.6" x14ac:dyDescent="0.3">
      <c r="B23" s="19" t="s">
        <v>111</v>
      </c>
      <c r="C23" s="19" t="s">
        <v>14</v>
      </c>
      <c r="D23" s="20">
        <v>0.221</v>
      </c>
      <c r="E23" s="21">
        <v>0.126</v>
      </c>
      <c r="F23" s="25">
        <f t="shared" si="0"/>
        <v>0.34699999999999998</v>
      </c>
      <c r="G23" s="28">
        <v>4.2102771362586582</v>
      </c>
      <c r="H23" s="28">
        <f t="shared" si="1"/>
        <v>2.6245303200680197</v>
      </c>
      <c r="I23" s="28">
        <f t="shared" si="2"/>
        <v>1.4963385535229432</v>
      </c>
      <c r="J23" s="28">
        <f t="shared" si="3"/>
        <v>4.1208688735909629</v>
      </c>
    </row>
    <row r="24" spans="2:10" ht="15.6" x14ac:dyDescent="0.3">
      <c r="B24" s="19" t="s">
        <v>112</v>
      </c>
      <c r="C24" s="19" t="s">
        <v>15</v>
      </c>
      <c r="D24" s="20">
        <v>0.16900000000000001</v>
      </c>
      <c r="E24" s="21">
        <v>0.14699999999999999</v>
      </c>
      <c r="F24" s="25">
        <f t="shared" si="0"/>
        <v>0.316</v>
      </c>
      <c r="G24" s="28">
        <v>4.3871524663677226</v>
      </c>
      <c r="H24" s="28">
        <f t="shared" si="1"/>
        <v>1.9260784904966051</v>
      </c>
      <c r="I24" s="28">
        <f t="shared" si="2"/>
        <v>1.6753463793076977</v>
      </c>
      <c r="J24" s="28">
        <f t="shared" si="3"/>
        <v>3.601424869804303</v>
      </c>
    </row>
    <row r="25" spans="2:10" ht="15.6" x14ac:dyDescent="0.3">
      <c r="B25" s="19" t="s">
        <v>113</v>
      </c>
      <c r="C25" s="19" t="s">
        <v>16</v>
      </c>
      <c r="D25" s="20">
        <v>0.23100000000000001</v>
      </c>
      <c r="E25" s="21">
        <v>0.185</v>
      </c>
      <c r="F25" s="25">
        <f t="shared" si="0"/>
        <v>0.41600000000000004</v>
      </c>
      <c r="G25" s="28">
        <v>4.3199999999999958</v>
      </c>
      <c r="H25" s="28">
        <f t="shared" si="1"/>
        <v>2.6736111111111143</v>
      </c>
      <c r="I25" s="28">
        <f t="shared" si="2"/>
        <v>2.1412037037037059</v>
      </c>
      <c r="J25" s="28">
        <f t="shared" si="3"/>
        <v>4.8148148148148202</v>
      </c>
    </row>
    <row r="26" spans="2:10" ht="15.6" x14ac:dyDescent="0.3">
      <c r="B26" s="19" t="s">
        <v>114</v>
      </c>
      <c r="C26" s="19" t="s">
        <v>17</v>
      </c>
      <c r="D26" s="20">
        <v>0.23100000000000001</v>
      </c>
      <c r="E26" s="21">
        <v>9.4E-2</v>
      </c>
      <c r="F26" s="25">
        <f t="shared" si="0"/>
        <v>0.32500000000000001</v>
      </c>
      <c r="G26" s="28">
        <v>4.2426497695852579</v>
      </c>
      <c r="H26" s="28">
        <f t="shared" si="1"/>
        <v>2.7223552796650186</v>
      </c>
      <c r="I26" s="28">
        <f t="shared" si="2"/>
        <v>1.1077982523312195</v>
      </c>
      <c r="J26" s="28">
        <f t="shared" si="3"/>
        <v>3.8301535319962379</v>
      </c>
    </row>
    <row r="27" spans="2:10" ht="15.6" x14ac:dyDescent="0.3">
      <c r="B27" s="19" t="s">
        <v>115</v>
      </c>
      <c r="C27" s="19" t="s">
        <v>18</v>
      </c>
      <c r="D27" s="20">
        <v>0.224</v>
      </c>
      <c r="E27" s="21">
        <v>0.23</v>
      </c>
      <c r="F27" s="25">
        <f t="shared" si="0"/>
        <v>0.45400000000000001</v>
      </c>
      <c r="G27" s="28">
        <v>4.5115570175438622</v>
      </c>
      <c r="H27" s="28">
        <f t="shared" si="1"/>
        <v>2.4825132335570914</v>
      </c>
      <c r="I27" s="28">
        <f t="shared" si="2"/>
        <v>2.5490091237416563</v>
      </c>
      <c r="J27" s="28">
        <f t="shared" si="3"/>
        <v>5.0315223572987477</v>
      </c>
    </row>
    <row r="28" spans="2:10" ht="15.6" x14ac:dyDescent="0.3">
      <c r="B28" s="19" t="s">
        <v>116</v>
      </c>
      <c r="C28" s="19" t="s">
        <v>19</v>
      </c>
      <c r="D28" s="20">
        <v>0.28599999999999998</v>
      </c>
      <c r="E28" s="21">
        <v>0.38600000000000001</v>
      </c>
      <c r="F28" s="25">
        <f t="shared" si="0"/>
        <v>0.67199999999999993</v>
      </c>
      <c r="G28" s="28">
        <v>4.1246117647058824</v>
      </c>
      <c r="H28" s="28">
        <f t="shared" si="1"/>
        <v>3.4669929718875503</v>
      </c>
      <c r="I28" s="28">
        <f t="shared" si="2"/>
        <v>4.6792282767433377</v>
      </c>
      <c r="J28" s="28">
        <f t="shared" si="3"/>
        <v>8.1462212486308871</v>
      </c>
    </row>
    <row r="29" spans="2:10" ht="15.6" x14ac:dyDescent="0.3">
      <c r="B29" s="19" t="s">
        <v>117</v>
      </c>
      <c r="C29" s="19" t="s">
        <v>20</v>
      </c>
      <c r="D29" s="20">
        <v>0.214</v>
      </c>
      <c r="E29" s="21">
        <v>0.18099999999999999</v>
      </c>
      <c r="F29" s="25">
        <f t="shared" si="0"/>
        <v>0.39500000000000002</v>
      </c>
      <c r="G29" s="28">
        <v>4.2922374429223682</v>
      </c>
      <c r="H29" s="28">
        <f t="shared" si="1"/>
        <v>2.492872340425536</v>
      </c>
      <c r="I29" s="28">
        <f t="shared" si="2"/>
        <v>2.1084574468085138</v>
      </c>
      <c r="J29" s="28">
        <f t="shared" si="3"/>
        <v>4.6013297872340502</v>
      </c>
    </row>
    <row r="30" spans="2:10" ht="15.6" x14ac:dyDescent="0.3">
      <c r="B30" s="19" t="s">
        <v>118</v>
      </c>
      <c r="C30" s="19" t="s">
        <v>21</v>
      </c>
      <c r="D30" s="20">
        <v>0.22900000000000001</v>
      </c>
      <c r="E30" s="21">
        <v>0.317</v>
      </c>
      <c r="F30" s="25">
        <f t="shared" si="0"/>
        <v>0.54600000000000004</v>
      </c>
      <c r="G30" s="28">
        <v>4.2232101616628146</v>
      </c>
      <c r="H30" s="28">
        <f t="shared" si="1"/>
        <v>2.7112077215432171</v>
      </c>
      <c r="I30" s="28">
        <f t="shared" si="2"/>
        <v>3.7530692040576406</v>
      </c>
      <c r="J30" s="28">
        <f t="shared" si="3"/>
        <v>6.4642769256008581</v>
      </c>
    </row>
    <row r="31" spans="2:10" ht="15.6" x14ac:dyDescent="0.3">
      <c r="B31" s="19" t="s">
        <v>119</v>
      </c>
      <c r="C31" s="19" t="s">
        <v>22</v>
      </c>
      <c r="D31" s="20">
        <v>0.252</v>
      </c>
      <c r="E31" s="21">
        <v>0.22900000000000001</v>
      </c>
      <c r="F31" s="25">
        <f t="shared" si="0"/>
        <v>0.48099999999999998</v>
      </c>
      <c r="G31" s="28">
        <v>4.1485948477751702</v>
      </c>
      <c r="H31" s="28">
        <f t="shared" si="1"/>
        <v>3.0371729374241485</v>
      </c>
      <c r="I31" s="28">
        <f t="shared" si="2"/>
        <v>2.7599706455163893</v>
      </c>
      <c r="J31" s="28">
        <f t="shared" si="3"/>
        <v>5.7971435829405378</v>
      </c>
    </row>
    <row r="32" spans="2:10" ht="15.6" x14ac:dyDescent="0.3">
      <c r="B32" s="19" t="s">
        <v>120</v>
      </c>
      <c r="C32" s="19" t="s">
        <v>23</v>
      </c>
      <c r="D32" s="20">
        <v>0.25800000000000001</v>
      </c>
      <c r="E32" s="21">
        <v>0.45100000000000001</v>
      </c>
      <c r="F32" s="25">
        <f t="shared" si="0"/>
        <v>0.70900000000000007</v>
      </c>
      <c r="G32" s="28">
        <v>4.145199063231864</v>
      </c>
      <c r="H32" s="28">
        <f t="shared" si="1"/>
        <v>3.112033898305075</v>
      </c>
      <c r="I32" s="28">
        <f t="shared" si="2"/>
        <v>5.4400282485875531</v>
      </c>
      <c r="J32" s="28">
        <f t="shared" si="3"/>
        <v>8.5520621468926272</v>
      </c>
    </row>
    <row r="33" spans="2:10" ht="15.6" x14ac:dyDescent="0.3">
      <c r="B33" s="19" t="s">
        <v>121</v>
      </c>
      <c r="C33" s="19" t="s">
        <v>24</v>
      </c>
      <c r="D33" s="20">
        <v>0.376</v>
      </c>
      <c r="E33" s="21">
        <v>0.36699999999999999</v>
      </c>
      <c r="F33" s="25">
        <f t="shared" si="0"/>
        <v>0.74299999999999999</v>
      </c>
      <c r="G33" s="28">
        <v>4.075829383886254</v>
      </c>
      <c r="H33" s="28">
        <f t="shared" si="1"/>
        <v>4.6125581395348858</v>
      </c>
      <c r="I33" s="28">
        <f t="shared" si="2"/>
        <v>4.5021511627907005</v>
      </c>
      <c r="J33" s="28">
        <f t="shared" si="3"/>
        <v>9.1147093023255863</v>
      </c>
    </row>
    <row r="34" spans="2:10" ht="15.6" x14ac:dyDescent="0.3">
      <c r="B34" s="19" t="s">
        <v>122</v>
      </c>
      <c r="C34" s="19" t="s">
        <v>25</v>
      </c>
      <c r="D34" s="20">
        <v>0.17399999999999999</v>
      </c>
      <c r="E34" s="21">
        <v>0.16200000000000001</v>
      </c>
      <c r="F34" s="25">
        <f t="shared" si="0"/>
        <v>0.33599999999999997</v>
      </c>
      <c r="G34" s="28">
        <v>4.2468045977011606</v>
      </c>
      <c r="H34" s="28">
        <f t="shared" si="1"/>
        <v>2.0485990819331312</v>
      </c>
      <c r="I34" s="28">
        <f t="shared" si="2"/>
        <v>1.9073163866273986</v>
      </c>
      <c r="J34" s="28">
        <f t="shared" si="3"/>
        <v>3.9559154685605296</v>
      </c>
    </row>
    <row r="35" spans="2:10" ht="15.6" x14ac:dyDescent="0.3">
      <c r="B35" s="19" t="s">
        <v>123</v>
      </c>
      <c r="C35" s="19" t="s">
        <v>26</v>
      </c>
      <c r="D35" s="20">
        <v>0.22800000000000001</v>
      </c>
      <c r="E35" s="21">
        <v>0.16600000000000001</v>
      </c>
      <c r="F35" s="25">
        <f t="shared" si="0"/>
        <v>0.39400000000000002</v>
      </c>
      <c r="G35" s="28">
        <v>4.3970179372197409</v>
      </c>
      <c r="H35" s="28">
        <f t="shared" si="1"/>
        <v>2.5926662485275838</v>
      </c>
      <c r="I35" s="28">
        <f t="shared" si="2"/>
        <v>1.8876429704192057</v>
      </c>
      <c r="J35" s="28">
        <f t="shared" si="3"/>
        <v>4.4803092189467897</v>
      </c>
    </row>
    <row r="36" spans="2:10" ht="15.6" x14ac:dyDescent="0.3">
      <c r="B36" s="19" t="s">
        <v>124</v>
      </c>
      <c r="C36" s="19" t="s">
        <v>27</v>
      </c>
      <c r="D36" s="20">
        <v>0.27900000000000003</v>
      </c>
      <c r="E36" s="21">
        <v>0.20300000000000001</v>
      </c>
      <c r="F36" s="25">
        <f t="shared" si="0"/>
        <v>0.48200000000000004</v>
      </c>
      <c r="G36" s="28">
        <v>4.2437011494252799</v>
      </c>
      <c r="H36" s="28">
        <f t="shared" si="1"/>
        <v>3.2872248796052088</v>
      </c>
      <c r="I36" s="28">
        <f t="shared" si="2"/>
        <v>2.3917801095335389</v>
      </c>
      <c r="J36" s="28">
        <f t="shared" si="3"/>
        <v>5.6790049891387477</v>
      </c>
    </row>
    <row r="37" spans="2:10" ht="15.6" x14ac:dyDescent="0.3">
      <c r="B37" s="19" t="s">
        <v>125</v>
      </c>
      <c r="C37" s="19" t="s">
        <v>28</v>
      </c>
      <c r="D37" s="20">
        <v>1.3480000000000001</v>
      </c>
      <c r="E37" s="21">
        <v>1.2999999999999999E-2</v>
      </c>
      <c r="F37" s="25">
        <f t="shared" si="0"/>
        <v>1.361</v>
      </c>
      <c r="G37" s="28">
        <v>3.990384615384631</v>
      </c>
      <c r="H37" s="28">
        <f t="shared" si="1"/>
        <v>16.89060240963849</v>
      </c>
      <c r="I37" s="28">
        <f t="shared" si="2"/>
        <v>0.1628915662650596</v>
      </c>
      <c r="J37" s="28">
        <f t="shared" si="3"/>
        <v>17.05349397590355</v>
      </c>
    </row>
    <row r="38" spans="2:10" ht="15.6" x14ac:dyDescent="0.3">
      <c r="B38" s="19" t="s">
        <v>126</v>
      </c>
      <c r="C38" s="19" t="s">
        <v>29</v>
      </c>
      <c r="D38" s="20">
        <v>0.224</v>
      </c>
      <c r="E38" s="21">
        <v>0.12</v>
      </c>
      <c r="F38" s="25">
        <f t="shared" si="0"/>
        <v>0.34399999999999997</v>
      </c>
      <c r="G38" s="28">
        <v>4.1724941724941802</v>
      </c>
      <c r="H38" s="28">
        <f t="shared" si="1"/>
        <v>2.6842458100558613</v>
      </c>
      <c r="I38" s="28">
        <f t="shared" si="2"/>
        <v>1.4379888268156398</v>
      </c>
      <c r="J38" s="28">
        <f t="shared" si="3"/>
        <v>4.122234636871501</v>
      </c>
    </row>
    <row r="39" spans="2:10" ht="15.6" x14ac:dyDescent="0.3">
      <c r="B39" s="19" t="s">
        <v>127</v>
      </c>
      <c r="C39" s="19" t="s">
        <v>30</v>
      </c>
      <c r="D39" s="20">
        <v>0.23300000000000001</v>
      </c>
      <c r="E39" s="21">
        <v>7.0000000000000001E-3</v>
      </c>
      <c r="F39" s="25">
        <f t="shared" si="0"/>
        <v>0.24000000000000002</v>
      </c>
      <c r="G39" s="28">
        <v>4.2027146171693763</v>
      </c>
      <c r="H39" s="28">
        <f t="shared" si="1"/>
        <v>2.7720178649309624</v>
      </c>
      <c r="I39" s="28">
        <f t="shared" si="2"/>
        <v>8.3279506671745662E-2</v>
      </c>
      <c r="J39" s="28">
        <f t="shared" si="3"/>
        <v>2.8552973716027084</v>
      </c>
    </row>
    <row r="40" spans="2:10" ht="15.6" x14ac:dyDescent="0.3">
      <c r="B40" s="19" t="s">
        <v>128</v>
      </c>
      <c r="C40" s="19" t="s">
        <v>31</v>
      </c>
      <c r="D40" s="20">
        <v>0.14399999999999999</v>
      </c>
      <c r="E40" s="21">
        <v>0.19400000000000001</v>
      </c>
      <c r="F40" s="25">
        <f t="shared" si="0"/>
        <v>0.33799999999999997</v>
      </c>
      <c r="G40" s="28">
        <v>4.2232101616628146</v>
      </c>
      <c r="H40" s="28">
        <f t="shared" si="1"/>
        <v>1.7048642441145117</v>
      </c>
      <c r="I40" s="28">
        <f t="shared" si="2"/>
        <v>2.2968309955431616</v>
      </c>
      <c r="J40" s="28">
        <f t="shared" si="3"/>
        <v>4.001695239657673</v>
      </c>
    </row>
    <row r="41" spans="2:10" ht="15.6" x14ac:dyDescent="0.3">
      <c r="B41" s="19" t="s">
        <v>129</v>
      </c>
      <c r="C41" s="19" t="s">
        <v>32</v>
      </c>
      <c r="D41" s="20">
        <v>0.17599999999999999</v>
      </c>
      <c r="E41" s="21">
        <v>0.26500000000000001</v>
      </c>
      <c r="F41" s="25">
        <f t="shared" si="0"/>
        <v>0.441</v>
      </c>
      <c r="G41" s="28">
        <v>4.075829383886254</v>
      </c>
      <c r="H41" s="28">
        <f t="shared" si="1"/>
        <v>2.1590697674418617</v>
      </c>
      <c r="I41" s="28">
        <f t="shared" si="2"/>
        <v>3.2508720930232577</v>
      </c>
      <c r="J41" s="28">
        <f t="shared" si="3"/>
        <v>5.4099418604651186</v>
      </c>
    </row>
    <row r="42" spans="2:10" ht="15.6" x14ac:dyDescent="0.3">
      <c r="B42" s="19" t="s">
        <v>130</v>
      </c>
      <c r="C42" s="19" t="s">
        <v>33</v>
      </c>
      <c r="D42" s="20">
        <v>0.32500000000000001</v>
      </c>
      <c r="E42" s="21">
        <v>0.30299999999999999</v>
      </c>
      <c r="F42" s="25">
        <f t="shared" si="0"/>
        <v>0.628</v>
      </c>
      <c r="G42" s="28">
        <v>4.2027146171693763</v>
      </c>
      <c r="H42" s="28">
        <f t="shared" si="1"/>
        <v>3.8665485240453337</v>
      </c>
      <c r="I42" s="28">
        <f t="shared" si="2"/>
        <v>3.6048129316484188</v>
      </c>
      <c r="J42" s="28">
        <f t="shared" si="3"/>
        <v>7.4713614556937529</v>
      </c>
    </row>
    <row r="43" spans="2:10" ht="15.6" x14ac:dyDescent="0.3">
      <c r="B43" s="19" t="s">
        <v>131</v>
      </c>
      <c r="C43" s="19" t="s">
        <v>34</v>
      </c>
      <c r="D43" s="20">
        <v>0.20799999999999999</v>
      </c>
      <c r="E43" s="21">
        <v>0.245</v>
      </c>
      <c r="F43" s="25">
        <f t="shared" si="0"/>
        <v>0.45299999999999996</v>
      </c>
      <c r="G43" s="28">
        <v>3.9903846153846105</v>
      </c>
      <c r="H43" s="28">
        <f t="shared" si="1"/>
        <v>2.6062650602409665</v>
      </c>
      <c r="I43" s="28">
        <f t="shared" si="2"/>
        <v>3.0698795180722929</v>
      </c>
      <c r="J43" s="28">
        <f t="shared" si="3"/>
        <v>5.6761445783132594</v>
      </c>
    </row>
    <row r="44" spans="2:10" ht="15.6" x14ac:dyDescent="0.3">
      <c r="B44" s="19" t="s">
        <v>132</v>
      </c>
      <c r="C44" s="19" t="s">
        <v>35</v>
      </c>
      <c r="D44" s="20">
        <v>0.40500000000000003</v>
      </c>
      <c r="E44" s="21">
        <v>0.29199999999999998</v>
      </c>
      <c r="F44" s="25">
        <f t="shared" si="0"/>
        <v>0.69700000000000006</v>
      </c>
      <c r="G44" s="28">
        <v>4.1691608391608277</v>
      </c>
      <c r="H44" s="28">
        <f t="shared" si="1"/>
        <v>4.8570925376138625</v>
      </c>
      <c r="I44" s="28">
        <f t="shared" si="2"/>
        <v>3.5019037555141916</v>
      </c>
      <c r="J44" s="28">
        <f t="shared" si="3"/>
        <v>8.3589962931280546</v>
      </c>
    </row>
    <row r="45" spans="2:10" ht="15.6" x14ac:dyDescent="0.3">
      <c r="B45" s="19" t="s">
        <v>133</v>
      </c>
      <c r="C45" s="19" t="s">
        <v>36</v>
      </c>
      <c r="D45" s="20">
        <v>0.28699999999999998</v>
      </c>
      <c r="E45" s="21">
        <v>4.1000000000000002E-2</v>
      </c>
      <c r="F45" s="25">
        <f t="shared" si="0"/>
        <v>0.32799999999999996</v>
      </c>
      <c r="G45" s="28">
        <v>4.0617577197149757</v>
      </c>
      <c r="H45" s="28">
        <f t="shared" si="1"/>
        <v>3.532953216374259</v>
      </c>
      <c r="I45" s="28">
        <f t="shared" si="2"/>
        <v>0.50470760233917988</v>
      </c>
      <c r="J45" s="28">
        <f t="shared" si="3"/>
        <v>4.0376608187134382</v>
      </c>
    </row>
    <row r="46" spans="2:10" ht="15.6" x14ac:dyDescent="0.3">
      <c r="B46" s="19" t="s">
        <v>134</v>
      </c>
      <c r="C46" s="19" t="s">
        <v>37</v>
      </c>
      <c r="D46" s="20">
        <v>0.19800000000000001</v>
      </c>
      <c r="E46" s="21">
        <v>0.11600000000000001</v>
      </c>
      <c r="F46" s="25">
        <f t="shared" si="0"/>
        <v>0.314</v>
      </c>
      <c r="G46" s="28">
        <v>4.1994406583217527</v>
      </c>
      <c r="H46" s="28">
        <f t="shared" si="1"/>
        <v>2.3574568152027173</v>
      </c>
      <c r="I46" s="28">
        <f t="shared" si="2"/>
        <v>1.3811363159773495</v>
      </c>
      <c r="J46" s="28">
        <f t="shared" si="3"/>
        <v>3.7385931311800666</v>
      </c>
    </row>
    <row r="47" spans="2:10" ht="15.6" x14ac:dyDescent="0.3">
      <c r="B47" s="19" t="s">
        <v>135</v>
      </c>
      <c r="C47" s="19" t="s">
        <v>38</v>
      </c>
      <c r="D47" s="20">
        <v>0.161</v>
      </c>
      <c r="E47" s="21">
        <v>6.7000000000000004E-2</v>
      </c>
      <c r="F47" s="25">
        <f t="shared" si="0"/>
        <v>0.22800000000000001</v>
      </c>
      <c r="G47" s="28">
        <v>4.2232101616628146</v>
      </c>
      <c r="H47" s="28">
        <f t="shared" si="1"/>
        <v>1.9061329396002527</v>
      </c>
      <c r="I47" s="28">
        <f t="shared" si="2"/>
        <v>0.79323544691439107</v>
      </c>
      <c r="J47" s="28">
        <f t="shared" si="3"/>
        <v>2.6993683865146436</v>
      </c>
    </row>
    <row r="48" spans="2:10" ht="15.6" x14ac:dyDescent="0.3">
      <c r="B48" s="19" t="s">
        <v>136</v>
      </c>
      <c r="C48" s="19" t="s">
        <v>39</v>
      </c>
      <c r="D48" s="20">
        <v>0.26200000000000001</v>
      </c>
      <c r="E48" s="21">
        <v>0.17</v>
      </c>
      <c r="F48" s="25">
        <f t="shared" si="0"/>
        <v>0.43200000000000005</v>
      </c>
      <c r="G48" s="28">
        <v>4.1037735849056531</v>
      </c>
      <c r="H48" s="28">
        <f t="shared" si="1"/>
        <v>3.1921839080459828</v>
      </c>
      <c r="I48" s="28">
        <f t="shared" si="2"/>
        <v>2.0712643678160956</v>
      </c>
      <c r="J48" s="28">
        <f t="shared" si="3"/>
        <v>5.2634482758620793</v>
      </c>
    </row>
    <row r="49" spans="2:10" ht="15.6" x14ac:dyDescent="0.3">
      <c r="B49" s="19" t="s">
        <v>137</v>
      </c>
      <c r="C49" s="19" t="s">
        <v>40</v>
      </c>
      <c r="D49" s="20">
        <v>0.23200000000000001</v>
      </c>
      <c r="E49" s="21">
        <v>7.9000000000000001E-2</v>
      </c>
      <c r="F49" s="25">
        <f t="shared" si="0"/>
        <v>0.311</v>
      </c>
      <c r="G49" s="28">
        <v>4.0898345153664364</v>
      </c>
      <c r="H49" s="28">
        <f t="shared" si="1"/>
        <v>2.8363005780346779</v>
      </c>
      <c r="I49" s="28">
        <f t="shared" si="2"/>
        <v>0.9658092485549119</v>
      </c>
      <c r="J49" s="28">
        <f t="shared" si="3"/>
        <v>3.8021098265895898</v>
      </c>
    </row>
    <row r="50" spans="2:10" ht="15.6" x14ac:dyDescent="0.3">
      <c r="B50" s="19" t="s">
        <v>138</v>
      </c>
      <c r="C50" s="19" t="s">
        <v>41</v>
      </c>
      <c r="D50" s="20">
        <v>0.254</v>
      </c>
      <c r="E50" s="21">
        <v>0.17499999999999999</v>
      </c>
      <c r="F50" s="25">
        <f t="shared" si="0"/>
        <v>0.42899999999999999</v>
      </c>
      <c r="G50" s="28">
        <v>4.0372553699284177</v>
      </c>
      <c r="H50" s="28">
        <f t="shared" si="1"/>
        <v>3.1457014323632388</v>
      </c>
      <c r="I50" s="28">
        <f t="shared" si="2"/>
        <v>2.1673139789904199</v>
      </c>
      <c r="J50" s="28">
        <f t="shared" si="3"/>
        <v>5.3130154113536587</v>
      </c>
    </row>
    <row r="51" spans="2:10" ht="15.6" x14ac:dyDescent="0.3">
      <c r="B51" s="19" t="s">
        <v>139</v>
      </c>
      <c r="C51" s="19" t="s">
        <v>42</v>
      </c>
      <c r="D51" s="20">
        <v>0.25800000000000001</v>
      </c>
      <c r="E51" s="21">
        <v>0.13700000000000001</v>
      </c>
      <c r="F51" s="25">
        <f t="shared" si="0"/>
        <v>0.39500000000000002</v>
      </c>
      <c r="G51" s="28">
        <v>4.9392712550607261</v>
      </c>
      <c r="H51" s="28">
        <f t="shared" si="1"/>
        <v>2.6117213114754114</v>
      </c>
      <c r="I51" s="28">
        <f t="shared" si="2"/>
        <v>1.386844262295083</v>
      </c>
      <c r="J51" s="28">
        <f t="shared" si="3"/>
        <v>3.9985655737704944</v>
      </c>
    </row>
    <row r="52" spans="2:10" ht="15.6" x14ac:dyDescent="0.3">
      <c r="B52" s="19" t="s">
        <v>140</v>
      </c>
      <c r="C52" s="19" t="s">
        <v>43</v>
      </c>
      <c r="D52" s="20">
        <v>0.25600000000000001</v>
      </c>
      <c r="E52" s="21">
        <v>0.17899999999999999</v>
      </c>
      <c r="F52" s="25">
        <f t="shared" si="0"/>
        <v>0.435</v>
      </c>
      <c r="G52" s="28">
        <v>4.0965094339622574</v>
      </c>
      <c r="H52" s="28">
        <f t="shared" si="1"/>
        <v>3.1246113810653391</v>
      </c>
      <c r="I52" s="28">
        <f t="shared" si="2"/>
        <v>2.18478686410428</v>
      </c>
      <c r="J52" s="28">
        <f t="shared" si="3"/>
        <v>5.3093982451696196</v>
      </c>
    </row>
    <row r="53" spans="2:10" ht="15.6" x14ac:dyDescent="0.3">
      <c r="B53" s="19" t="s">
        <v>141</v>
      </c>
      <c r="C53" s="19" t="s">
        <v>44</v>
      </c>
      <c r="D53" s="20">
        <v>0.218</v>
      </c>
      <c r="E53" s="21">
        <v>0.183</v>
      </c>
      <c r="F53" s="25">
        <f t="shared" si="0"/>
        <v>0.40100000000000002</v>
      </c>
      <c r="G53" s="28">
        <v>4.2893835616438301</v>
      </c>
      <c r="H53" s="28">
        <f t="shared" si="1"/>
        <v>2.5411576846307415</v>
      </c>
      <c r="I53" s="28">
        <f t="shared" si="2"/>
        <v>2.1331736526946132</v>
      </c>
      <c r="J53" s="28">
        <f t="shared" si="3"/>
        <v>4.6743313373253557</v>
      </c>
    </row>
    <row r="54" spans="2:10" ht="15.6" x14ac:dyDescent="0.3">
      <c r="B54" s="19" t="s">
        <v>142</v>
      </c>
      <c r="C54" s="19" t="s">
        <v>45</v>
      </c>
      <c r="D54" s="20">
        <v>0.23200000000000001</v>
      </c>
      <c r="E54" s="21">
        <v>0.14799999999999999</v>
      </c>
      <c r="F54" s="25">
        <f t="shared" si="0"/>
        <v>0.38</v>
      </c>
      <c r="G54" s="28">
        <v>4.2528735632184018</v>
      </c>
      <c r="H54" s="28">
        <f t="shared" si="1"/>
        <v>2.727567567567561</v>
      </c>
      <c r="I54" s="28">
        <f t="shared" si="2"/>
        <v>1.7399999999999958</v>
      </c>
      <c r="J54" s="28">
        <f t="shared" si="3"/>
        <v>4.4675675675675572</v>
      </c>
    </row>
    <row r="55" spans="2:10" ht="15.6" x14ac:dyDescent="0.3">
      <c r="B55" s="19" t="s">
        <v>143</v>
      </c>
      <c r="C55" s="19" t="s">
        <v>46</v>
      </c>
      <c r="D55" s="20">
        <v>0.185</v>
      </c>
      <c r="E55" s="21">
        <v>0.19600000000000001</v>
      </c>
      <c r="F55" s="25">
        <f t="shared" si="0"/>
        <v>0.38100000000000001</v>
      </c>
      <c r="G55" s="28">
        <v>4.0934515366430313</v>
      </c>
      <c r="H55" s="28">
        <f t="shared" si="1"/>
        <v>2.2597067333514262</v>
      </c>
      <c r="I55" s="28">
        <f t="shared" si="2"/>
        <v>2.3940676742534035</v>
      </c>
      <c r="J55" s="28">
        <f t="shared" si="3"/>
        <v>4.6537744076048293</v>
      </c>
    </row>
    <row r="56" spans="2:10" ht="15.6" x14ac:dyDescent="0.3">
      <c r="B56" s="19" t="s">
        <v>144</v>
      </c>
      <c r="C56" s="19" t="s">
        <v>47</v>
      </c>
      <c r="D56" s="20">
        <v>0.20599999999999999</v>
      </c>
      <c r="E56" s="21">
        <v>0.16200000000000001</v>
      </c>
      <c r="F56" s="25">
        <f t="shared" si="0"/>
        <v>0.36799999999999999</v>
      </c>
      <c r="G56" s="28">
        <v>4.1451990632318454</v>
      </c>
      <c r="H56" s="28">
        <f t="shared" si="1"/>
        <v>2.4848022598870085</v>
      </c>
      <c r="I56" s="28">
        <f t="shared" si="2"/>
        <v>1.954067796610172</v>
      </c>
      <c r="J56" s="28">
        <f t="shared" si="3"/>
        <v>4.4388700564971799</v>
      </c>
    </row>
    <row r="57" spans="2:10" ht="15.6" x14ac:dyDescent="0.3">
      <c r="B57" s="19" t="s">
        <v>145</v>
      </c>
      <c r="C57" s="19" t="s">
        <v>48</v>
      </c>
      <c r="D57" s="20">
        <v>0.188</v>
      </c>
      <c r="E57" s="21">
        <v>0.14799999999999999</v>
      </c>
      <c r="F57" s="25">
        <f t="shared" si="0"/>
        <v>0.33599999999999997</v>
      </c>
      <c r="G57" s="28">
        <v>4.1963109048723739</v>
      </c>
      <c r="H57" s="28">
        <f t="shared" si="1"/>
        <v>2.2400628106667635</v>
      </c>
      <c r="I57" s="28">
        <f t="shared" si="2"/>
        <v>1.7634537020142607</v>
      </c>
      <c r="J57" s="28">
        <f t="shared" si="3"/>
        <v>4.0035165126810242</v>
      </c>
    </row>
    <row r="58" spans="2:10" ht="15.6" x14ac:dyDescent="0.3">
      <c r="B58" s="19" t="s">
        <v>146</v>
      </c>
      <c r="C58" s="19" t="s">
        <v>49</v>
      </c>
      <c r="D58" s="20">
        <v>0.254</v>
      </c>
      <c r="E58" s="21">
        <v>0.14399999999999999</v>
      </c>
      <c r="F58" s="25">
        <f t="shared" si="0"/>
        <v>0.39800000000000002</v>
      </c>
      <c r="G58" s="28">
        <v>4.2791762013729855</v>
      </c>
      <c r="H58" s="28">
        <f t="shared" si="1"/>
        <v>2.9678609625668537</v>
      </c>
      <c r="I58" s="28">
        <f t="shared" si="2"/>
        <v>1.682566844919791</v>
      </c>
      <c r="J58" s="28">
        <f t="shared" si="3"/>
        <v>4.6504278074866452</v>
      </c>
    </row>
    <row r="59" spans="2:10" ht="15.6" x14ac:dyDescent="0.3">
      <c r="B59" s="19" t="s">
        <v>147</v>
      </c>
      <c r="C59" s="19" t="s">
        <v>50</v>
      </c>
      <c r="D59" s="20">
        <v>0.39600000000000002</v>
      </c>
      <c r="E59" s="21">
        <v>8.2000000000000003E-2</v>
      </c>
      <c r="F59" s="25">
        <f t="shared" si="0"/>
        <v>0.47800000000000004</v>
      </c>
      <c r="G59" s="28">
        <v>4.1520560747663566</v>
      </c>
      <c r="H59" s="28">
        <f t="shared" si="1"/>
        <v>4.7687217232763848</v>
      </c>
      <c r="I59" s="28">
        <f t="shared" si="2"/>
        <v>0.98746257906228163</v>
      </c>
      <c r="J59" s="28">
        <f t="shared" si="3"/>
        <v>5.7561843023386672</v>
      </c>
    </row>
    <row r="60" spans="2:10" ht="15.6" x14ac:dyDescent="0.3">
      <c r="B60" s="19" t="s">
        <v>148</v>
      </c>
      <c r="C60" s="19" t="s">
        <v>51</v>
      </c>
      <c r="D60" s="20">
        <v>0.14899999999999999</v>
      </c>
      <c r="E60" s="21">
        <v>0.126</v>
      </c>
      <c r="F60" s="25">
        <f t="shared" si="0"/>
        <v>0.27500000000000002</v>
      </c>
      <c r="G60" s="28">
        <v>4.4523281596452389</v>
      </c>
      <c r="H60" s="28">
        <f t="shared" si="1"/>
        <v>1.6732818725099579</v>
      </c>
      <c r="I60" s="28">
        <f t="shared" si="2"/>
        <v>1.4149900398406354</v>
      </c>
      <c r="J60" s="28">
        <f t="shared" si="3"/>
        <v>3.0882719123505935</v>
      </c>
    </row>
    <row r="61" spans="2:10" ht="15.6" x14ac:dyDescent="0.3">
      <c r="B61" s="19" t="s">
        <v>149</v>
      </c>
      <c r="C61" s="19" t="s">
        <v>52</v>
      </c>
      <c r="D61" s="20">
        <v>0.66300000000000003</v>
      </c>
      <c r="E61" s="21">
        <v>8.3000000000000004E-2</v>
      </c>
      <c r="F61" s="25">
        <f t="shared" si="0"/>
        <v>0.746</v>
      </c>
      <c r="G61" s="28">
        <v>3.9085158150851571</v>
      </c>
      <c r="H61" s="28">
        <f t="shared" si="1"/>
        <v>8.4814803286852634</v>
      </c>
      <c r="I61" s="28">
        <f t="shared" si="2"/>
        <v>1.061784113545817</v>
      </c>
      <c r="J61" s="28">
        <f t="shared" si="3"/>
        <v>9.5432644422310791</v>
      </c>
    </row>
    <row r="62" spans="2:10" ht="15.6" x14ac:dyDescent="0.3">
      <c r="B62" s="19" t="s">
        <v>150</v>
      </c>
      <c r="C62" s="19" t="s">
        <v>53</v>
      </c>
      <c r="D62" s="20">
        <v>0.16500000000000001</v>
      </c>
      <c r="E62" s="21">
        <v>8.5000000000000006E-2</v>
      </c>
      <c r="F62" s="25">
        <f t="shared" si="0"/>
        <v>0.25</v>
      </c>
      <c r="G62" s="28">
        <v>4.1104941176470593</v>
      </c>
      <c r="H62" s="28">
        <f t="shared" si="1"/>
        <v>2.0070579749965654</v>
      </c>
      <c r="I62" s="28">
        <f t="shared" si="2"/>
        <v>1.0339389568164126</v>
      </c>
      <c r="J62" s="28">
        <f t="shared" si="3"/>
        <v>3.0409969318129781</v>
      </c>
    </row>
    <row r="63" spans="2:10" ht="15.6" x14ac:dyDescent="0.3">
      <c r="B63" s="19" t="s">
        <v>151</v>
      </c>
      <c r="C63" s="19" t="s">
        <v>54</v>
      </c>
      <c r="D63" s="20">
        <v>0.499</v>
      </c>
      <c r="E63" s="21">
        <v>0.08</v>
      </c>
      <c r="F63" s="25">
        <f t="shared" si="0"/>
        <v>0.57899999999999996</v>
      </c>
      <c r="G63" s="28">
        <v>4.0617577197149561</v>
      </c>
      <c r="H63" s="28">
        <f t="shared" si="1"/>
        <v>6.1426608187134626</v>
      </c>
      <c r="I63" s="28">
        <f t="shared" si="2"/>
        <v>0.98479532163742889</v>
      </c>
      <c r="J63" s="28">
        <f t="shared" si="3"/>
        <v>7.1274561403508914</v>
      </c>
    </row>
    <row r="64" spans="2:10" ht="15.6" x14ac:dyDescent="0.3">
      <c r="B64" s="19" t="s">
        <v>152</v>
      </c>
      <c r="C64" s="19" t="s">
        <v>55</v>
      </c>
      <c r="D64" s="20">
        <v>0.27800000000000002</v>
      </c>
      <c r="E64" s="21">
        <v>0.15</v>
      </c>
      <c r="F64" s="25">
        <f t="shared" si="0"/>
        <v>0.42800000000000005</v>
      </c>
      <c r="G64" s="28">
        <v>4.1485948477751702</v>
      </c>
      <c r="H64" s="28">
        <f t="shared" si="1"/>
        <v>3.3505320500155293</v>
      </c>
      <c r="I64" s="28">
        <f t="shared" si="2"/>
        <v>1.8078410341810407</v>
      </c>
      <c r="J64" s="28">
        <f t="shared" si="3"/>
        <v>5.1583730841965698</v>
      </c>
    </row>
    <row r="65" spans="2:10" ht="15.6" x14ac:dyDescent="0.3">
      <c r="B65" s="19" t="s">
        <v>153</v>
      </c>
      <c r="C65" s="19" t="s">
        <v>56</v>
      </c>
      <c r="D65" s="20">
        <v>0.311</v>
      </c>
      <c r="E65" s="21">
        <v>0.153</v>
      </c>
      <c r="F65" s="25">
        <f t="shared" si="0"/>
        <v>0.46399999999999997</v>
      </c>
      <c r="G65" s="28">
        <v>4.0151913875597982</v>
      </c>
      <c r="H65" s="28">
        <f t="shared" si="1"/>
        <v>3.8727917299729007</v>
      </c>
      <c r="I65" s="28">
        <f t="shared" si="2"/>
        <v>1.9052640986683402</v>
      </c>
      <c r="J65" s="28">
        <f t="shared" si="3"/>
        <v>5.7780558286412402</v>
      </c>
    </row>
    <row r="66" spans="2:10" ht="15.6" x14ac:dyDescent="0.3">
      <c r="B66" s="19" t="s">
        <v>154</v>
      </c>
      <c r="C66" s="19" t="s">
        <v>57</v>
      </c>
      <c r="D66" s="20">
        <v>0.26700000000000002</v>
      </c>
      <c r="E66" s="21">
        <v>0.13300000000000001</v>
      </c>
      <c r="F66" s="25">
        <f t="shared" si="0"/>
        <v>0.4</v>
      </c>
      <c r="G66" s="28">
        <v>4.162219626168226</v>
      </c>
      <c r="H66" s="28">
        <f t="shared" si="1"/>
        <v>3.2074232498610655</v>
      </c>
      <c r="I66" s="28">
        <f t="shared" si="2"/>
        <v>1.5977052143502688</v>
      </c>
      <c r="J66" s="28">
        <f t="shared" si="3"/>
        <v>4.805128464211335</v>
      </c>
    </row>
    <row r="67" spans="2:10" ht="15.6" x14ac:dyDescent="0.3">
      <c r="B67" s="19" t="s">
        <v>155</v>
      </c>
      <c r="C67" s="19" t="s">
        <v>58</v>
      </c>
      <c r="D67" s="20">
        <v>0.55000000000000004</v>
      </c>
      <c r="E67" s="21">
        <v>5.1999999999999998E-2</v>
      </c>
      <c r="F67" s="25">
        <f t="shared" si="0"/>
        <v>0.60200000000000009</v>
      </c>
      <c r="G67" s="28">
        <v>4.0898345153664364</v>
      </c>
      <c r="H67" s="28">
        <f t="shared" si="1"/>
        <v>6.7239884393063489</v>
      </c>
      <c r="I67" s="28">
        <f t="shared" si="2"/>
        <v>0.63572254335260014</v>
      </c>
      <c r="J67" s="28">
        <f t="shared" si="3"/>
        <v>7.3597109826589495</v>
      </c>
    </row>
    <row r="68" spans="2:10" ht="15.6" x14ac:dyDescent="0.3">
      <c r="B68" s="19" t="s">
        <v>156</v>
      </c>
      <c r="C68" s="19" t="s">
        <v>59</v>
      </c>
      <c r="D68" s="20">
        <v>0.42499999999999999</v>
      </c>
      <c r="E68" s="21">
        <v>6.2E-2</v>
      </c>
      <c r="F68" s="25">
        <f t="shared" si="0"/>
        <v>0.48699999999999999</v>
      </c>
      <c r="G68" s="28">
        <v>4.0230382775119713</v>
      </c>
      <c r="H68" s="28">
        <f t="shared" si="1"/>
        <v>5.2820775081319784</v>
      </c>
      <c r="I68" s="28">
        <f t="shared" si="2"/>
        <v>0.77056189530395924</v>
      </c>
      <c r="J68" s="28">
        <f t="shared" si="3"/>
        <v>6.0526394034359372</v>
      </c>
    </row>
    <row r="69" spans="2:10" ht="15.6" x14ac:dyDescent="0.3">
      <c r="B69" s="19" t="s">
        <v>157</v>
      </c>
      <c r="C69" s="19" t="s">
        <v>60</v>
      </c>
      <c r="D69" s="20">
        <v>0.33700000000000002</v>
      </c>
      <c r="E69" s="21">
        <v>0.13500000000000001</v>
      </c>
      <c r="F69" s="25">
        <f t="shared" si="0"/>
        <v>0.47200000000000003</v>
      </c>
      <c r="G69" s="28">
        <v>3.8634313725490173</v>
      </c>
      <c r="H69" s="28">
        <f t="shared" si="1"/>
        <v>4.3614078716979243</v>
      </c>
      <c r="I69" s="28">
        <f t="shared" si="2"/>
        <v>1.7471515213033231</v>
      </c>
      <c r="J69" s="28">
        <f t="shared" si="3"/>
        <v>6.1085593930012481</v>
      </c>
    </row>
    <row r="70" spans="2:10" ht="15.6" x14ac:dyDescent="0.3">
      <c r="B70" s="19" t="s">
        <v>158</v>
      </c>
      <c r="C70" s="19" t="s">
        <v>61</v>
      </c>
      <c r="D70" s="20">
        <v>0.61399999999999999</v>
      </c>
      <c r="E70" s="21">
        <v>0.152</v>
      </c>
      <c r="F70" s="25">
        <f t="shared" si="0"/>
        <v>0.76600000000000001</v>
      </c>
      <c r="G70" s="28">
        <v>4.1279577464788808</v>
      </c>
      <c r="H70" s="28">
        <f t="shared" si="1"/>
        <v>7.437091628708381</v>
      </c>
      <c r="I70" s="28">
        <f t="shared" si="2"/>
        <v>1.8411041165532149</v>
      </c>
      <c r="J70" s="28">
        <f t="shared" si="3"/>
        <v>9.2781957452615966</v>
      </c>
    </row>
    <row r="71" spans="2:10" ht="15.6" x14ac:dyDescent="0.3">
      <c r="B71" s="19" t="s">
        <v>159</v>
      </c>
      <c r="C71" s="19" t="s">
        <v>62</v>
      </c>
      <c r="D71" s="20">
        <v>0.252</v>
      </c>
      <c r="E71" s="21">
        <v>0.16200000000000001</v>
      </c>
      <c r="F71" s="25">
        <f t="shared" si="0"/>
        <v>0.41400000000000003</v>
      </c>
      <c r="G71" s="28">
        <v>4.1588785046728987</v>
      </c>
      <c r="H71" s="28">
        <f t="shared" si="1"/>
        <v>3.0296629213483137</v>
      </c>
      <c r="I71" s="28">
        <f t="shared" si="2"/>
        <v>1.947640449438202</v>
      </c>
      <c r="J71" s="28">
        <f t="shared" si="3"/>
        <v>4.9773033707865162</v>
      </c>
    </row>
    <row r="72" spans="2:10" ht="15.6" x14ac:dyDescent="0.3">
      <c r="B72" s="19" t="s">
        <v>160</v>
      </c>
      <c r="C72" s="19" t="s">
        <v>63</v>
      </c>
      <c r="D72" s="20">
        <v>0.33900000000000002</v>
      </c>
      <c r="E72" s="21">
        <v>0.19500000000000001</v>
      </c>
      <c r="F72" s="25">
        <f t="shared" si="0"/>
        <v>0.53400000000000003</v>
      </c>
      <c r="G72" s="28">
        <v>4.2058468677494032</v>
      </c>
      <c r="H72" s="28">
        <f t="shared" si="1"/>
        <v>4.0301039322123833</v>
      </c>
      <c r="I72" s="28">
        <f t="shared" si="2"/>
        <v>2.3182013769363268</v>
      </c>
      <c r="J72" s="28">
        <f t="shared" si="3"/>
        <v>6.3483053091487092</v>
      </c>
    </row>
    <row r="73" spans="2:10" ht="15.6" x14ac:dyDescent="0.3">
      <c r="B73" s="19" t="s">
        <v>161</v>
      </c>
      <c r="C73" s="19" t="s">
        <v>64</v>
      </c>
      <c r="D73" s="20">
        <v>0.307</v>
      </c>
      <c r="E73" s="21">
        <v>0.114</v>
      </c>
      <c r="F73" s="25">
        <f t="shared" si="0"/>
        <v>0.42099999999999999</v>
      </c>
      <c r="G73" s="28">
        <v>4.0410501193317589</v>
      </c>
      <c r="H73" s="28">
        <f t="shared" si="1"/>
        <v>3.7985175998109932</v>
      </c>
      <c r="I73" s="28">
        <f t="shared" si="2"/>
        <v>1.4105244507441472</v>
      </c>
      <c r="J73" s="28">
        <f t="shared" si="3"/>
        <v>5.2090420505551398</v>
      </c>
    </row>
    <row r="74" spans="2:10" ht="15.6" x14ac:dyDescent="0.3">
      <c r="B74" s="19" t="s">
        <v>162</v>
      </c>
      <c r="C74" s="19" t="s">
        <v>65</v>
      </c>
      <c r="D74" s="20">
        <v>0.38</v>
      </c>
      <c r="E74" s="21">
        <v>0.29399999999999998</v>
      </c>
      <c r="F74" s="25">
        <f t="shared" ref="F74:F93" si="4">D74+E74</f>
        <v>0.67399999999999993</v>
      </c>
      <c r="G74" s="28">
        <v>4.117647058823529</v>
      </c>
      <c r="H74" s="28">
        <f t="shared" ref="H74:H93" si="5">D74*0.05/($G74/1000)</f>
        <v>4.6142857142857157</v>
      </c>
      <c r="I74" s="28">
        <f t="shared" ref="I74:I93" si="6">E74*0.05/($G74/1000)</f>
        <v>3.5700000000000003</v>
      </c>
      <c r="J74" s="28">
        <f t="shared" ref="J74:J93" si="7">F74*0.05/($G74/1000)</f>
        <v>8.1842857142857159</v>
      </c>
    </row>
    <row r="75" spans="2:10" ht="15.6" x14ac:dyDescent="0.3">
      <c r="B75" s="19" t="s">
        <v>163</v>
      </c>
      <c r="C75" s="19" t="s">
        <v>66</v>
      </c>
      <c r="D75" s="20">
        <v>0.217</v>
      </c>
      <c r="E75" s="21">
        <v>0.20399999999999999</v>
      </c>
      <c r="F75" s="25">
        <f t="shared" si="4"/>
        <v>0.42099999999999999</v>
      </c>
      <c r="G75" s="28">
        <v>4.075829383886254</v>
      </c>
      <c r="H75" s="28">
        <f t="shared" si="5"/>
        <v>2.6620348837209318</v>
      </c>
      <c r="I75" s="28">
        <f t="shared" si="6"/>
        <v>2.502558139534885</v>
      </c>
      <c r="J75" s="28">
        <f t="shared" si="7"/>
        <v>5.1645930232558159</v>
      </c>
    </row>
    <row r="76" spans="2:10" ht="15.6" x14ac:dyDescent="0.3">
      <c r="B76" s="19" t="s">
        <v>164</v>
      </c>
      <c r="C76" s="19" t="s">
        <v>67</v>
      </c>
      <c r="D76" s="20">
        <v>0.35699999999999998</v>
      </c>
      <c r="E76" s="21">
        <v>0.253</v>
      </c>
      <c r="F76" s="25">
        <f t="shared" si="4"/>
        <v>0.61</v>
      </c>
      <c r="G76" s="28">
        <v>4.2820366132722993</v>
      </c>
      <c r="H76" s="28">
        <f t="shared" si="5"/>
        <v>4.168577154308629</v>
      </c>
      <c r="I76" s="28">
        <f t="shared" si="6"/>
        <v>2.9542017368069557</v>
      </c>
      <c r="J76" s="28">
        <f t="shared" si="7"/>
        <v>7.1227788911155834</v>
      </c>
    </row>
    <row r="77" spans="2:10" ht="15.6" x14ac:dyDescent="0.3">
      <c r="B77" s="19" t="s">
        <v>165</v>
      </c>
      <c r="C77" s="19" t="s">
        <v>68</v>
      </c>
      <c r="D77" s="20">
        <v>0.78500000000000003</v>
      </c>
      <c r="E77" s="21">
        <v>7.9000000000000001E-2</v>
      </c>
      <c r="F77" s="25">
        <f t="shared" si="4"/>
        <v>0.86399999999999999</v>
      </c>
      <c r="G77" s="28">
        <v>4.117647058823529</v>
      </c>
      <c r="H77" s="28">
        <f t="shared" si="5"/>
        <v>9.5321428571428601</v>
      </c>
      <c r="I77" s="28">
        <f t="shared" si="6"/>
        <v>0.95928571428571452</v>
      </c>
      <c r="J77" s="28">
        <f t="shared" si="7"/>
        <v>10.491428571428573</v>
      </c>
    </row>
    <row r="78" spans="2:10" ht="15.6" x14ac:dyDescent="0.3">
      <c r="B78" s="19" t="s">
        <v>166</v>
      </c>
      <c r="C78" s="19" t="s">
        <v>69</v>
      </c>
      <c r="D78" s="20">
        <v>0.23799999999999999</v>
      </c>
      <c r="E78" s="21">
        <v>0.20699999999999999</v>
      </c>
      <c r="F78" s="25">
        <f t="shared" si="4"/>
        <v>0.44499999999999995</v>
      </c>
      <c r="G78" s="28">
        <v>4.15549065420561</v>
      </c>
      <c r="H78" s="28">
        <f t="shared" si="5"/>
        <v>2.8636810885271693</v>
      </c>
      <c r="I78" s="28">
        <f t="shared" si="6"/>
        <v>2.4906806106097648</v>
      </c>
      <c r="J78" s="28">
        <f t="shared" si="7"/>
        <v>5.3543616991369332</v>
      </c>
    </row>
    <row r="79" spans="2:10" ht="15.6" x14ac:dyDescent="0.3">
      <c r="B79" s="19" t="s">
        <v>167</v>
      </c>
      <c r="C79" s="19" t="s">
        <v>70</v>
      </c>
      <c r="D79" s="20">
        <v>0.26900000000000002</v>
      </c>
      <c r="E79" s="21">
        <v>0.16600000000000001</v>
      </c>
      <c r="F79" s="25">
        <f t="shared" si="4"/>
        <v>0.43500000000000005</v>
      </c>
      <c r="G79" s="28">
        <v>4.2689678899082564</v>
      </c>
      <c r="H79" s="28">
        <f t="shared" si="5"/>
        <v>3.1506444524437622</v>
      </c>
      <c r="I79" s="28">
        <f t="shared" si="6"/>
        <v>1.9442638628463362</v>
      </c>
      <c r="J79" s="28">
        <f t="shared" si="7"/>
        <v>5.0949083152900991</v>
      </c>
    </row>
    <row r="80" spans="2:10" ht="15.6" x14ac:dyDescent="0.3">
      <c r="B80" s="19" t="s">
        <v>168</v>
      </c>
      <c r="C80" s="19" t="s">
        <v>71</v>
      </c>
      <c r="D80" s="20">
        <v>0.23699999999999999</v>
      </c>
      <c r="E80" s="21">
        <v>0.15</v>
      </c>
      <c r="F80" s="25">
        <f t="shared" si="4"/>
        <v>0.38700000000000001</v>
      </c>
      <c r="G80" s="28">
        <v>4.361599099099096</v>
      </c>
      <c r="H80" s="28">
        <f t="shared" si="5"/>
        <v>2.7168934445276411</v>
      </c>
      <c r="I80" s="28">
        <f t="shared" si="6"/>
        <v>1.719552812992178</v>
      </c>
      <c r="J80" s="28">
        <f t="shared" si="7"/>
        <v>4.4364462575198198</v>
      </c>
    </row>
    <row r="81" spans="2:10" ht="15.6" x14ac:dyDescent="0.3">
      <c r="B81" s="19" t="s">
        <v>169</v>
      </c>
      <c r="C81" s="19" t="s">
        <v>72</v>
      </c>
      <c r="D81" s="20">
        <v>0.29599999999999999</v>
      </c>
      <c r="E81" s="21">
        <v>0.16900000000000001</v>
      </c>
      <c r="F81" s="25">
        <f t="shared" si="4"/>
        <v>0.46499999999999997</v>
      </c>
      <c r="G81" s="28">
        <v>4.3514221218961531</v>
      </c>
      <c r="H81" s="28">
        <f t="shared" si="5"/>
        <v>3.4011869189907116</v>
      </c>
      <c r="I81" s="28">
        <f t="shared" si="6"/>
        <v>1.9418938828021295</v>
      </c>
      <c r="J81" s="28">
        <f t="shared" si="7"/>
        <v>5.3430808017928406</v>
      </c>
    </row>
    <row r="82" spans="2:10" ht="15.6" x14ac:dyDescent="0.3">
      <c r="B82" s="19" t="s">
        <v>170</v>
      </c>
      <c r="C82" s="19" t="s">
        <v>73</v>
      </c>
      <c r="D82" s="20">
        <v>0.126</v>
      </c>
      <c r="E82" s="21">
        <v>0.14499999999999999</v>
      </c>
      <c r="F82" s="25">
        <f t="shared" si="4"/>
        <v>0.27100000000000002</v>
      </c>
      <c r="G82" s="28">
        <v>4.2995899772209576</v>
      </c>
      <c r="H82" s="28">
        <f t="shared" si="5"/>
        <v>1.4652559972874457</v>
      </c>
      <c r="I82" s="28">
        <f t="shared" si="6"/>
        <v>1.6862072984657113</v>
      </c>
      <c r="J82" s="28">
        <f t="shared" si="7"/>
        <v>3.1514632957531576</v>
      </c>
    </row>
    <row r="83" spans="2:10" ht="15.6" x14ac:dyDescent="0.3">
      <c r="B83" s="19" t="s">
        <v>171</v>
      </c>
      <c r="C83" s="19" t="s">
        <v>74</v>
      </c>
      <c r="D83" s="20">
        <v>0.20300000000000001</v>
      </c>
      <c r="E83" s="21">
        <v>0.21199999999999999</v>
      </c>
      <c r="F83" s="25">
        <f t="shared" si="4"/>
        <v>0.41500000000000004</v>
      </c>
      <c r="G83" s="28">
        <v>4.3946188340807275</v>
      </c>
      <c r="H83" s="28">
        <f t="shared" si="5"/>
        <v>2.309642857142852</v>
      </c>
      <c r="I83" s="28">
        <f t="shared" si="6"/>
        <v>2.4120408163265252</v>
      </c>
      <c r="J83" s="28">
        <f t="shared" si="7"/>
        <v>4.7216836734693777</v>
      </c>
    </row>
    <row r="84" spans="2:10" ht="15.6" x14ac:dyDescent="0.3">
      <c r="B84" s="19" t="s">
        <v>172</v>
      </c>
      <c r="C84" s="19" t="s">
        <v>75</v>
      </c>
      <c r="D84" s="20">
        <v>0.57599999999999996</v>
      </c>
      <c r="E84" s="21">
        <v>0.25900000000000001</v>
      </c>
      <c r="F84" s="25">
        <f t="shared" si="4"/>
        <v>0.83499999999999996</v>
      </c>
      <c r="G84" s="28">
        <v>4.1827674418604612</v>
      </c>
      <c r="H84" s="28">
        <f t="shared" si="5"/>
        <v>6.8853935582873316</v>
      </c>
      <c r="I84" s="28">
        <f t="shared" si="6"/>
        <v>3.0960363395771164</v>
      </c>
      <c r="J84" s="28">
        <f t="shared" si="7"/>
        <v>9.981429897864448</v>
      </c>
    </row>
    <row r="85" spans="2:10" ht="15.6" x14ac:dyDescent="0.3">
      <c r="B85" s="19" t="s">
        <v>173</v>
      </c>
      <c r="C85" s="19" t="s">
        <v>76</v>
      </c>
      <c r="D85" s="20">
        <v>0.68100000000000005</v>
      </c>
      <c r="E85" s="21">
        <v>0.13900000000000001</v>
      </c>
      <c r="F85" s="25">
        <f t="shared" si="4"/>
        <v>0.82000000000000006</v>
      </c>
      <c r="G85" s="28">
        <v>4.0191387559808707</v>
      </c>
      <c r="H85" s="28">
        <f t="shared" si="5"/>
        <v>8.4719642857142663</v>
      </c>
      <c r="I85" s="28">
        <f t="shared" si="6"/>
        <v>1.7292261904761865</v>
      </c>
      <c r="J85" s="28">
        <f t="shared" si="7"/>
        <v>10.201190476190453</v>
      </c>
    </row>
    <row r="86" spans="2:10" ht="15.6" x14ac:dyDescent="0.3">
      <c r="B86" s="19" t="s">
        <v>174</v>
      </c>
      <c r="C86" s="19" t="s">
        <v>77</v>
      </c>
      <c r="D86" s="20">
        <v>0.254</v>
      </c>
      <c r="E86" s="21">
        <v>0.156</v>
      </c>
      <c r="F86" s="25">
        <f t="shared" si="4"/>
        <v>0.41000000000000003</v>
      </c>
      <c r="G86" s="28">
        <v>4.2263279445727644</v>
      </c>
      <c r="H86" s="28">
        <f t="shared" si="5"/>
        <v>3.0049726775956174</v>
      </c>
      <c r="I86" s="28">
        <f t="shared" si="6"/>
        <v>1.8455737704917965</v>
      </c>
      <c r="J86" s="28">
        <f t="shared" si="7"/>
        <v>4.8505464480874148</v>
      </c>
    </row>
    <row r="87" spans="2:10" ht="15.6" x14ac:dyDescent="0.3">
      <c r="B87" s="19" t="s">
        <v>175</v>
      </c>
      <c r="C87" s="19" t="s">
        <v>78</v>
      </c>
      <c r="D87" s="20">
        <v>0.23699999999999999</v>
      </c>
      <c r="E87" s="21">
        <v>0.19800000000000001</v>
      </c>
      <c r="F87" s="25">
        <f t="shared" si="4"/>
        <v>0.435</v>
      </c>
      <c r="G87" s="28">
        <v>4.1724941724941802</v>
      </c>
      <c r="H87" s="28">
        <f t="shared" si="5"/>
        <v>2.8400279329608886</v>
      </c>
      <c r="I87" s="28">
        <f t="shared" si="6"/>
        <v>2.3726815642458061</v>
      </c>
      <c r="J87" s="28">
        <f t="shared" si="7"/>
        <v>5.2127094972066947</v>
      </c>
    </row>
    <row r="88" spans="2:10" ht="15.6" x14ac:dyDescent="0.3">
      <c r="B88" s="19" t="s">
        <v>176</v>
      </c>
      <c r="C88" s="19" t="s">
        <v>79</v>
      </c>
      <c r="D88" s="20">
        <v>0.21299999999999999</v>
      </c>
      <c r="E88" s="21">
        <v>0.124</v>
      </c>
      <c r="F88" s="25">
        <f t="shared" si="4"/>
        <v>0.33699999999999997</v>
      </c>
      <c r="G88" s="28">
        <v>4.3181818181818254</v>
      </c>
      <c r="H88" s="28">
        <f t="shared" si="5"/>
        <v>2.46631578947368</v>
      </c>
      <c r="I88" s="28">
        <f t="shared" si="6"/>
        <v>1.4357894736842083</v>
      </c>
      <c r="J88" s="28">
        <f t="shared" si="7"/>
        <v>3.9021052631578885</v>
      </c>
    </row>
    <row r="89" spans="2:10" ht="15.6" x14ac:dyDescent="0.3">
      <c r="B89" s="19" t="s">
        <v>177</v>
      </c>
      <c r="C89" s="19" t="s">
        <v>80</v>
      </c>
      <c r="D89" s="20">
        <v>0.22600000000000001</v>
      </c>
      <c r="E89" s="21">
        <v>0.40200000000000002</v>
      </c>
      <c r="F89" s="25">
        <f t="shared" si="4"/>
        <v>0.628</v>
      </c>
      <c r="G89" s="28">
        <v>4.4071588366890548</v>
      </c>
      <c r="H89" s="28">
        <f t="shared" si="5"/>
        <v>2.5640101522842547</v>
      </c>
      <c r="I89" s="28">
        <f t="shared" si="6"/>
        <v>4.5607614213197811</v>
      </c>
      <c r="J89" s="28">
        <f t="shared" si="7"/>
        <v>7.1247715736040353</v>
      </c>
    </row>
    <row r="90" spans="2:10" ht="15.6" x14ac:dyDescent="0.3">
      <c r="B90" s="19" t="s">
        <v>178</v>
      </c>
      <c r="C90" s="19" t="s">
        <v>179</v>
      </c>
      <c r="D90" s="20">
        <v>0.26900000000000002</v>
      </c>
      <c r="E90" s="21">
        <v>0.189</v>
      </c>
      <c r="F90" s="25">
        <f t="shared" si="4"/>
        <v>0.45800000000000002</v>
      </c>
      <c r="G90" s="28">
        <v>4.2283534652688122</v>
      </c>
      <c r="H90" s="28">
        <f t="shared" si="5"/>
        <v>3.1809072042998978</v>
      </c>
      <c r="I90" s="28">
        <f t="shared" si="6"/>
        <v>2.2349124967014151</v>
      </c>
      <c r="J90" s="28">
        <f t="shared" si="7"/>
        <v>5.4158197010013129</v>
      </c>
    </row>
    <row r="91" spans="2:10" ht="15.6" x14ac:dyDescent="0.3">
      <c r="B91" s="19" t="s">
        <v>180</v>
      </c>
      <c r="C91" s="19" t="s">
        <v>81</v>
      </c>
      <c r="D91" s="20">
        <v>0.58599999999999997</v>
      </c>
      <c r="E91" s="21">
        <v>0.159</v>
      </c>
      <c r="F91" s="25">
        <f t="shared" si="4"/>
        <v>0.745</v>
      </c>
      <c r="G91" s="28">
        <v>4.1963109048723934</v>
      </c>
      <c r="H91" s="28">
        <f t="shared" si="5"/>
        <v>6.9823234417591351</v>
      </c>
      <c r="I91" s="28">
        <f t="shared" si="6"/>
        <v>1.8945212068936905</v>
      </c>
      <c r="J91" s="28">
        <f t="shared" si="7"/>
        <v>8.8768446486528259</v>
      </c>
    </row>
    <row r="92" spans="2:10" ht="15.6" x14ac:dyDescent="0.3">
      <c r="B92" s="19" t="s">
        <v>181</v>
      </c>
      <c r="C92" s="19" t="s">
        <v>82</v>
      </c>
      <c r="D92" s="20">
        <v>1.1479999999999999</v>
      </c>
      <c r="E92" s="21">
        <v>0.215</v>
      </c>
      <c r="F92" s="25">
        <f t="shared" si="4"/>
        <v>1.363</v>
      </c>
      <c r="G92" s="28">
        <v>4.0861702127659632</v>
      </c>
      <c r="H92" s="28">
        <f t="shared" si="5"/>
        <v>14.047383493881783</v>
      </c>
      <c r="I92" s="28">
        <f t="shared" si="6"/>
        <v>2.6308253059099158</v>
      </c>
      <c r="J92" s="28">
        <f t="shared" si="7"/>
        <v>16.678208799791697</v>
      </c>
    </row>
    <row r="93" spans="2:10" ht="15.6" x14ac:dyDescent="0.3">
      <c r="B93" s="19" t="s">
        <v>182</v>
      </c>
      <c r="C93" s="19" t="s">
        <v>83</v>
      </c>
      <c r="D93" s="20">
        <v>0.20799999999999999</v>
      </c>
      <c r="E93" s="21">
        <v>0.17699999999999999</v>
      </c>
      <c r="F93" s="25">
        <f t="shared" si="4"/>
        <v>0.38500000000000001</v>
      </c>
      <c r="G93" s="28">
        <v>4.0579809976246946</v>
      </c>
      <c r="H93" s="28">
        <f t="shared" si="5"/>
        <v>2.5628508379136208</v>
      </c>
      <c r="I93" s="28">
        <f t="shared" si="6"/>
        <v>2.1808874918784178</v>
      </c>
      <c r="J93" s="28">
        <f t="shared" si="7"/>
        <v>4.7437383297920395</v>
      </c>
    </row>
    <row r="94" spans="2:10" ht="15.6" x14ac:dyDescent="0.3">
      <c r="B94" s="19"/>
      <c r="C94" s="19" t="s">
        <v>183</v>
      </c>
      <c r="D94" s="20">
        <v>9.7000000000000003E-2</v>
      </c>
      <c r="E94" s="21">
        <v>0.252</v>
      </c>
      <c r="F94" s="25"/>
      <c r="H94" s="28"/>
      <c r="I94" s="28"/>
      <c r="J94" s="28"/>
    </row>
    <row r="95" spans="2:10" ht="15.6" x14ac:dyDescent="0.3">
      <c r="B95" s="19"/>
      <c r="C95" s="19" t="s">
        <v>184</v>
      </c>
      <c r="D95" s="20">
        <v>7.8E-2</v>
      </c>
      <c r="E95" s="21">
        <v>5.0999999999999997E-2</v>
      </c>
      <c r="F95" s="25"/>
      <c r="H95" s="28"/>
      <c r="I95" s="28"/>
      <c r="J95" s="28"/>
    </row>
    <row r="96" spans="2:10" ht="15.6" x14ac:dyDescent="0.3">
      <c r="B96" s="19"/>
      <c r="C96" s="19" t="s">
        <v>185</v>
      </c>
      <c r="D96" s="20">
        <v>7.8E-2</v>
      </c>
      <c r="E96" s="21">
        <v>0.129</v>
      </c>
      <c r="F96" s="25"/>
      <c r="H96" s="28"/>
      <c r="I96" s="28"/>
      <c r="J96" s="28"/>
    </row>
    <row r="97" spans="2:10" ht="16.2" thickBot="1" x14ac:dyDescent="0.35">
      <c r="B97" s="22"/>
      <c r="C97" s="22" t="s">
        <v>186</v>
      </c>
      <c r="D97" s="23">
        <v>6.9000000000000006E-2</v>
      </c>
      <c r="E97" s="24">
        <v>8.7999999999999995E-2</v>
      </c>
      <c r="F97" s="25"/>
      <c r="H97" s="28"/>
      <c r="I97" s="28"/>
      <c r="J97" s="28"/>
    </row>
  </sheetData>
  <mergeCells count="7">
    <mergeCell ref="B7:C7"/>
    <mergeCell ref="A1:F1"/>
    <mergeCell ref="A2:F2"/>
    <mergeCell ref="A3:F3"/>
    <mergeCell ref="B4:C4"/>
    <mergeCell ref="B5:C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4484-F109-4103-BE33-FBF3A27D7BBB}">
  <dimension ref="A1:R86"/>
  <sheetViews>
    <sheetView tabSelected="1" workbookViewId="0">
      <selection activeCell="I5" sqref="I5"/>
    </sheetView>
  </sheetViews>
  <sheetFormatPr baseColWidth="10" defaultRowHeight="14.4" x14ac:dyDescent="0.3"/>
  <cols>
    <col min="1" max="16384" width="11.5546875" style="3"/>
  </cols>
  <sheetData>
    <row r="1" spans="1:18" ht="16.8" x14ac:dyDescent="0.35">
      <c r="A1" s="33" t="s">
        <v>84</v>
      </c>
      <c r="B1" s="34" t="s">
        <v>190</v>
      </c>
      <c r="C1" s="33" t="s">
        <v>202</v>
      </c>
      <c r="D1" s="33" t="s">
        <v>203</v>
      </c>
      <c r="E1" s="33" t="s">
        <v>191</v>
      </c>
      <c r="F1" s="34" t="s">
        <v>192</v>
      </c>
      <c r="G1" s="33" t="s">
        <v>193</v>
      </c>
      <c r="H1" s="33" t="s">
        <v>194</v>
      </c>
      <c r="I1" s="33" t="s">
        <v>195</v>
      </c>
      <c r="J1" s="33" t="s">
        <v>196</v>
      </c>
      <c r="K1" s="33" t="s">
        <v>197</v>
      </c>
      <c r="L1" s="34" t="s">
        <v>198</v>
      </c>
      <c r="M1" s="33" t="s">
        <v>199</v>
      </c>
      <c r="N1" s="33" t="s">
        <v>200</v>
      </c>
      <c r="O1" s="33" t="s">
        <v>201</v>
      </c>
      <c r="P1" s="34" t="s">
        <v>204</v>
      </c>
      <c r="Q1" s="33" t="s">
        <v>205</v>
      </c>
      <c r="R1" s="33" t="s">
        <v>206</v>
      </c>
    </row>
    <row r="2" spans="1:18" x14ac:dyDescent="0.3">
      <c r="A2" s="32" t="s">
        <v>0</v>
      </c>
      <c r="B2" s="3">
        <v>1</v>
      </c>
      <c r="C2" s="29">
        <v>4.1334385492580754</v>
      </c>
      <c r="D2" s="29">
        <v>4.1219885809775816</v>
      </c>
      <c r="E2" s="29">
        <v>8.2554271302356579</v>
      </c>
      <c r="F2" s="30">
        <v>16</v>
      </c>
      <c r="G2" s="31">
        <v>4</v>
      </c>
      <c r="H2" s="31">
        <v>4</v>
      </c>
      <c r="I2" s="31">
        <v>4</v>
      </c>
      <c r="J2" s="31">
        <v>4</v>
      </c>
      <c r="K2" s="31">
        <v>4</v>
      </c>
      <c r="L2" s="35">
        <v>1</v>
      </c>
      <c r="M2" s="35">
        <v>1</v>
      </c>
      <c r="N2" s="35">
        <v>1</v>
      </c>
      <c r="O2" s="35">
        <v>1</v>
      </c>
      <c r="P2" s="37">
        <f>LOG10(C2+1)</f>
        <v>0.71040836758963899</v>
      </c>
      <c r="Q2" s="36">
        <f t="shared" ref="Q2:R2" si="0">LOG10(D2+1)</f>
        <v>0.70943860591219354</v>
      </c>
      <c r="R2" s="36">
        <f t="shared" si="0"/>
        <v>0.96639646587919759</v>
      </c>
    </row>
    <row r="3" spans="1:18" x14ac:dyDescent="0.3">
      <c r="A3" s="19" t="s">
        <v>1</v>
      </c>
      <c r="B3" s="3">
        <v>1</v>
      </c>
      <c r="C3" s="29">
        <v>3.2025691699604772</v>
      </c>
      <c r="D3" s="29">
        <v>2.0152220967438379</v>
      </c>
      <c r="E3" s="29">
        <v>5.2177912667043147</v>
      </c>
      <c r="F3" s="30">
        <v>8</v>
      </c>
      <c r="G3" s="31">
        <v>2</v>
      </c>
      <c r="H3" s="31">
        <v>4</v>
      </c>
      <c r="I3" s="31">
        <v>0</v>
      </c>
      <c r="J3" s="31">
        <v>4</v>
      </c>
      <c r="K3" s="31">
        <v>0</v>
      </c>
      <c r="L3" s="35">
        <v>1</v>
      </c>
      <c r="M3" s="35">
        <v>0</v>
      </c>
      <c r="N3" s="35">
        <v>1</v>
      </c>
      <c r="O3" s="35">
        <v>0</v>
      </c>
      <c r="P3" s="37">
        <f t="shared" ref="P3:P66" si="1">LOG10(C3+1)</f>
        <v>0.62351487021024332</v>
      </c>
      <c r="Q3" s="36">
        <f t="shared" ref="Q3:Q66" si="2">LOG10(D3+1)</f>
        <v>0.47931930713548371</v>
      </c>
      <c r="R3" s="36">
        <f t="shared" ref="R3:R66" si="3">LOG10(E3+1)</f>
        <v>0.79363613854343984</v>
      </c>
    </row>
    <row r="4" spans="1:18" x14ac:dyDescent="0.3">
      <c r="A4" s="19" t="s">
        <v>2</v>
      </c>
      <c r="B4" s="3">
        <v>1</v>
      </c>
      <c r="C4" s="29">
        <v>2.8314445902421617</v>
      </c>
      <c r="D4" s="29">
        <v>3.1936061075987165</v>
      </c>
      <c r="E4" s="29">
        <v>6.0250506978408778</v>
      </c>
      <c r="F4" s="30">
        <v>8</v>
      </c>
      <c r="G4" s="31">
        <v>3</v>
      </c>
      <c r="H4" s="31">
        <v>3</v>
      </c>
      <c r="I4" s="31">
        <v>3</v>
      </c>
      <c r="J4" s="31">
        <v>0</v>
      </c>
      <c r="K4" s="31">
        <v>2</v>
      </c>
      <c r="L4" s="35">
        <v>1</v>
      </c>
      <c r="M4" s="35">
        <v>1</v>
      </c>
      <c r="N4" s="35">
        <v>0</v>
      </c>
      <c r="O4" s="35">
        <v>1</v>
      </c>
      <c r="P4" s="37">
        <f t="shared" si="1"/>
        <v>0.58336254923863284</v>
      </c>
      <c r="Q4" s="36">
        <f t="shared" si="2"/>
        <v>0.62258763611265699</v>
      </c>
      <c r="R4" s="36">
        <f t="shared" si="3"/>
        <v>0.84664946277115161</v>
      </c>
    </row>
    <row r="5" spans="1:18" x14ac:dyDescent="0.3">
      <c r="A5" s="19" t="s">
        <v>3</v>
      </c>
      <c r="B5" s="3">
        <v>1</v>
      </c>
      <c r="C5" s="29">
        <v>3.0416500507311821</v>
      </c>
      <c r="D5" s="29">
        <v>2.9511920566573924</v>
      </c>
      <c r="E5" s="29">
        <v>5.992842107388574</v>
      </c>
      <c r="F5" s="30">
        <v>4</v>
      </c>
      <c r="G5" s="31">
        <v>4</v>
      </c>
      <c r="H5" s="31">
        <v>1</v>
      </c>
      <c r="I5" s="31">
        <v>1</v>
      </c>
      <c r="J5" s="31">
        <v>1</v>
      </c>
      <c r="K5" s="31">
        <v>1</v>
      </c>
      <c r="L5" s="35">
        <v>1</v>
      </c>
      <c r="M5" s="35">
        <v>1</v>
      </c>
      <c r="N5" s="35">
        <v>1</v>
      </c>
      <c r="O5" s="35">
        <v>1</v>
      </c>
      <c r="P5" s="37">
        <f t="shared" si="1"/>
        <v>0.60655870709717252</v>
      </c>
      <c r="Q5" s="36">
        <f t="shared" si="2"/>
        <v>0.59672814006346098</v>
      </c>
      <c r="R5" s="36">
        <f t="shared" si="3"/>
        <v>0.84465372233947866</v>
      </c>
    </row>
    <row r="6" spans="1:18" x14ac:dyDescent="0.3">
      <c r="A6" s="19" t="s">
        <v>4</v>
      </c>
      <c r="B6" s="3">
        <v>1</v>
      </c>
      <c r="C6" s="29">
        <v>2.9498443581686056</v>
      </c>
      <c r="D6" s="29">
        <v>1.7430898480087214</v>
      </c>
      <c r="E6" s="29">
        <v>4.6929342061773269</v>
      </c>
      <c r="F6" s="30">
        <v>2</v>
      </c>
      <c r="G6" s="31">
        <v>1</v>
      </c>
      <c r="H6" s="31">
        <v>0</v>
      </c>
      <c r="I6" s="31">
        <v>0</v>
      </c>
      <c r="J6" s="31">
        <v>0</v>
      </c>
      <c r="K6" s="31">
        <v>2</v>
      </c>
      <c r="L6" s="35">
        <v>0</v>
      </c>
      <c r="M6" s="35">
        <v>0</v>
      </c>
      <c r="N6" s="35">
        <v>0</v>
      </c>
      <c r="O6" s="35">
        <v>1</v>
      </c>
      <c r="P6" s="37">
        <f t="shared" si="1"/>
        <v>0.59657998278588464</v>
      </c>
      <c r="Q6" s="36">
        <f t="shared" si="2"/>
        <v>0.43824003285255936</v>
      </c>
      <c r="R6" s="36">
        <f t="shared" si="3"/>
        <v>0.75533616465482079</v>
      </c>
    </row>
    <row r="7" spans="1:18" x14ac:dyDescent="0.3">
      <c r="A7" s="19" t="s">
        <v>5</v>
      </c>
      <c r="B7" s="3">
        <v>1</v>
      </c>
      <c r="C7" s="29">
        <v>1.9349924549091053</v>
      </c>
      <c r="D7" s="29">
        <v>1.4842271671177798</v>
      </c>
      <c r="E7" s="29">
        <v>3.4192196220268851</v>
      </c>
      <c r="F7" s="30">
        <v>16</v>
      </c>
      <c r="G7" s="31">
        <v>2</v>
      </c>
      <c r="H7" s="31">
        <v>8</v>
      </c>
      <c r="I7" s="31">
        <v>0</v>
      </c>
      <c r="J7" s="31">
        <v>8</v>
      </c>
      <c r="K7" s="31">
        <v>0</v>
      </c>
      <c r="L7" s="35">
        <v>1</v>
      </c>
      <c r="M7" s="35">
        <v>0</v>
      </c>
      <c r="N7" s="35">
        <v>1</v>
      </c>
      <c r="O7" s="35">
        <v>0</v>
      </c>
      <c r="P7" s="37">
        <f t="shared" si="1"/>
        <v>0.46760698912858972</v>
      </c>
      <c r="Q7" s="36">
        <f t="shared" si="2"/>
        <v>0.395191306848657</v>
      </c>
      <c r="R7" s="36">
        <f t="shared" si="3"/>
        <v>0.64534558523830032</v>
      </c>
    </row>
    <row r="8" spans="1:18" x14ac:dyDescent="0.3">
      <c r="A8" s="19" t="s">
        <v>6</v>
      </c>
      <c r="B8" s="3">
        <v>1</v>
      </c>
      <c r="C8" s="29">
        <v>3.0868478869598905</v>
      </c>
      <c r="D8" s="29">
        <v>1.52694610778443</v>
      </c>
      <c r="E8" s="29">
        <v>4.6137939947443209</v>
      </c>
      <c r="F8" s="30">
        <v>2</v>
      </c>
      <c r="G8" s="31">
        <v>1</v>
      </c>
      <c r="H8" s="31">
        <v>0</v>
      </c>
      <c r="I8" s="31">
        <v>0</v>
      </c>
      <c r="J8" s="31">
        <v>2</v>
      </c>
      <c r="K8" s="31">
        <v>0</v>
      </c>
      <c r="L8" s="35">
        <v>0</v>
      </c>
      <c r="M8" s="35">
        <v>0</v>
      </c>
      <c r="N8" s="35">
        <v>1</v>
      </c>
      <c r="O8" s="35">
        <v>0</v>
      </c>
      <c r="P8" s="37">
        <f t="shared" si="1"/>
        <v>0.61138847351209624</v>
      </c>
      <c r="Q8" s="36">
        <f t="shared" si="2"/>
        <v>0.4025959798140904</v>
      </c>
      <c r="R8" s="36">
        <f t="shared" si="3"/>
        <v>0.74925647160670039</v>
      </c>
    </row>
    <row r="9" spans="1:18" x14ac:dyDescent="0.3">
      <c r="A9" s="19" t="s">
        <v>7</v>
      </c>
      <c r="B9" s="3">
        <v>1</v>
      </c>
      <c r="C9" s="29">
        <v>5.0201351351351224</v>
      </c>
      <c r="D9" s="29">
        <v>6.231081081081066</v>
      </c>
      <c r="E9" s="29">
        <v>11.251216216216189</v>
      </c>
      <c r="F9" s="30">
        <v>1</v>
      </c>
      <c r="G9" s="31">
        <v>1</v>
      </c>
      <c r="H9" s="31">
        <v>0</v>
      </c>
      <c r="I9" s="31">
        <v>0</v>
      </c>
      <c r="J9" s="31">
        <v>0</v>
      </c>
      <c r="K9" s="31">
        <v>1</v>
      </c>
      <c r="L9" s="35">
        <v>0</v>
      </c>
      <c r="M9" s="35">
        <v>0</v>
      </c>
      <c r="N9" s="35">
        <v>0</v>
      </c>
      <c r="O9" s="35">
        <v>1</v>
      </c>
      <c r="P9" s="37">
        <f t="shared" si="1"/>
        <v>0.77960624005928547</v>
      </c>
      <c r="Q9" s="36">
        <f t="shared" si="2"/>
        <v>0.85920323124327769</v>
      </c>
      <c r="R9" s="36">
        <f t="shared" si="3"/>
        <v>1.0881792046003715</v>
      </c>
    </row>
    <row r="10" spans="1:18" x14ac:dyDescent="0.3">
      <c r="A10" s="19" t="s">
        <v>8</v>
      </c>
      <c r="B10" s="3">
        <v>1</v>
      </c>
      <c r="C10" s="29">
        <v>1.7831578947368465</v>
      </c>
      <c r="D10" s="29">
        <v>2.0147368421052678</v>
      </c>
      <c r="E10" s="29">
        <v>3.7978947368421139</v>
      </c>
      <c r="F10" s="30">
        <v>1</v>
      </c>
      <c r="G10" s="31">
        <v>1</v>
      </c>
      <c r="H10" s="31">
        <v>1</v>
      </c>
      <c r="I10" s="31">
        <v>0</v>
      </c>
      <c r="J10" s="31">
        <v>0</v>
      </c>
      <c r="K10" s="31">
        <v>0</v>
      </c>
      <c r="L10" s="35">
        <v>1</v>
      </c>
      <c r="M10" s="35">
        <v>0</v>
      </c>
      <c r="N10" s="35">
        <v>0</v>
      </c>
      <c r="O10" s="35">
        <v>0</v>
      </c>
      <c r="P10" s="37">
        <f t="shared" si="1"/>
        <v>0.44453784552475556</v>
      </c>
      <c r="Q10" s="36">
        <f t="shared" si="2"/>
        <v>0.47924940834697083</v>
      </c>
      <c r="R10" s="36">
        <f t="shared" si="3"/>
        <v>0.68105071555550978</v>
      </c>
    </row>
    <row r="11" spans="1:18" x14ac:dyDescent="0.3">
      <c r="A11" s="19" t="s">
        <v>9</v>
      </c>
      <c r="B11" s="3">
        <v>1</v>
      </c>
      <c r="C11" s="29">
        <v>6.7913297872340523</v>
      </c>
      <c r="D11" s="29">
        <v>1.1299468085106401</v>
      </c>
      <c r="E11" s="29">
        <v>7.9212765957446916</v>
      </c>
      <c r="F11" s="30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5">
        <v>0</v>
      </c>
      <c r="M11" s="35">
        <v>0</v>
      </c>
      <c r="N11" s="35">
        <v>0</v>
      </c>
      <c r="O11" s="35">
        <v>0</v>
      </c>
      <c r="P11" s="37">
        <f t="shared" si="1"/>
        <v>0.891611587322234</v>
      </c>
      <c r="Q11" s="36">
        <f t="shared" si="2"/>
        <v>0.32836875787124459</v>
      </c>
      <c r="R11" s="36">
        <f t="shared" si="3"/>
        <v>0.95042700446785122</v>
      </c>
    </row>
    <row r="12" spans="1:18" x14ac:dyDescent="0.3">
      <c r="A12" s="19" t="s">
        <v>10</v>
      </c>
      <c r="B12" s="3">
        <v>1</v>
      </c>
      <c r="C12" s="29">
        <v>4.3583155080213842</v>
      </c>
      <c r="D12" s="29">
        <v>2.0915240641711201</v>
      </c>
      <c r="E12" s="29">
        <v>6.4498395721925057</v>
      </c>
      <c r="F12" s="30">
        <v>16</v>
      </c>
      <c r="G12" s="31">
        <v>1</v>
      </c>
      <c r="H12" s="31">
        <v>0</v>
      </c>
      <c r="I12" s="31">
        <v>0</v>
      </c>
      <c r="J12" s="31">
        <v>16</v>
      </c>
      <c r="K12" s="31">
        <v>0</v>
      </c>
      <c r="L12" s="35">
        <v>0</v>
      </c>
      <c r="M12" s="35">
        <v>0</v>
      </c>
      <c r="N12" s="35">
        <v>1</v>
      </c>
      <c r="O12" s="35">
        <v>0</v>
      </c>
      <c r="P12" s="37">
        <f t="shared" si="1"/>
        <v>0.72902828212745363</v>
      </c>
      <c r="Q12" s="36">
        <f t="shared" si="2"/>
        <v>0.49017263136086997</v>
      </c>
      <c r="R12" s="36">
        <f t="shared" si="3"/>
        <v>0.87214692057893506</v>
      </c>
    </row>
    <row r="13" spans="1:18" x14ac:dyDescent="0.3">
      <c r="A13" s="19" t="s">
        <v>11</v>
      </c>
      <c r="B13" s="3">
        <v>1</v>
      </c>
      <c r="C13" s="29">
        <v>7.4268349843848114</v>
      </c>
      <c r="D13" s="29">
        <v>4.2985269566408189</v>
      </c>
      <c r="E13" s="29">
        <v>11.72536194102563</v>
      </c>
      <c r="F13" s="30">
        <v>8</v>
      </c>
      <c r="G13" s="31">
        <v>1</v>
      </c>
      <c r="H13" s="31">
        <v>0</v>
      </c>
      <c r="I13" s="31">
        <v>0</v>
      </c>
      <c r="J13" s="31">
        <v>0</v>
      </c>
      <c r="K13" s="31">
        <v>8</v>
      </c>
      <c r="L13" s="35">
        <v>0</v>
      </c>
      <c r="M13" s="35">
        <v>0</v>
      </c>
      <c r="N13" s="35">
        <v>0</v>
      </c>
      <c r="O13" s="35">
        <v>1</v>
      </c>
      <c r="P13" s="37">
        <f t="shared" si="1"/>
        <v>0.92566448958128789</v>
      </c>
      <c r="Q13" s="36">
        <f t="shared" si="2"/>
        <v>0.72415514818181581</v>
      </c>
      <c r="R13" s="36">
        <f t="shared" si="3"/>
        <v>1.1046701436024908</v>
      </c>
    </row>
    <row r="14" spans="1:18" x14ac:dyDescent="0.3">
      <c r="A14" s="19" t="s">
        <v>12</v>
      </c>
      <c r="B14" s="3">
        <v>1</v>
      </c>
      <c r="C14" s="29">
        <v>7.3574417414142035</v>
      </c>
      <c r="D14" s="29">
        <v>5.060484319704404</v>
      </c>
      <c r="E14" s="29">
        <v>12.417926061118607</v>
      </c>
      <c r="F14" s="30">
        <v>4</v>
      </c>
      <c r="G14" s="31">
        <v>1</v>
      </c>
      <c r="H14" s="31">
        <v>0</v>
      </c>
      <c r="I14" s="31">
        <v>0</v>
      </c>
      <c r="J14" s="31">
        <v>0</v>
      </c>
      <c r="K14" s="31">
        <v>4</v>
      </c>
      <c r="L14" s="35">
        <v>0</v>
      </c>
      <c r="M14" s="35">
        <v>0</v>
      </c>
      <c r="N14" s="35">
        <v>0</v>
      </c>
      <c r="O14" s="35">
        <v>1</v>
      </c>
      <c r="P14" s="37">
        <f t="shared" si="1"/>
        <v>0.92207335786759492</v>
      </c>
      <c r="Q14" s="36">
        <f t="shared" si="2"/>
        <v>0.78250733191717525</v>
      </c>
      <c r="R14" s="36">
        <f t="shared" si="3"/>
        <v>1.1276853943861271</v>
      </c>
    </row>
    <row r="15" spans="1:18" x14ac:dyDescent="0.3">
      <c r="A15" s="19" t="s">
        <v>13</v>
      </c>
      <c r="B15" s="3">
        <v>1</v>
      </c>
      <c r="C15" s="29">
        <v>4.4848019091148048</v>
      </c>
      <c r="D15" s="29">
        <v>1.9592695209011646</v>
      </c>
      <c r="E15" s="29">
        <v>6.4440714300159696</v>
      </c>
      <c r="F15" s="30">
        <v>8</v>
      </c>
      <c r="G15" s="31">
        <v>4</v>
      </c>
      <c r="H15" s="31">
        <v>2</v>
      </c>
      <c r="I15" s="31">
        <v>2</v>
      </c>
      <c r="J15" s="31">
        <v>2</v>
      </c>
      <c r="K15" s="31">
        <v>2</v>
      </c>
      <c r="L15" s="35">
        <v>1</v>
      </c>
      <c r="M15" s="35">
        <v>1</v>
      </c>
      <c r="N15" s="35">
        <v>1</v>
      </c>
      <c r="O15" s="35">
        <v>1</v>
      </c>
      <c r="P15" s="37">
        <f t="shared" si="1"/>
        <v>0.73916094707356006</v>
      </c>
      <c r="Q15" s="36">
        <f t="shared" si="2"/>
        <v>0.47118452112874193</v>
      </c>
      <c r="R15" s="36">
        <f t="shared" si="3"/>
        <v>0.8718105317764272</v>
      </c>
    </row>
    <row r="16" spans="1:18" x14ac:dyDescent="0.3">
      <c r="A16" s="19" t="s">
        <v>14</v>
      </c>
      <c r="B16" s="3">
        <v>1</v>
      </c>
      <c r="C16" s="29">
        <v>2.6245303200680197</v>
      </c>
      <c r="D16" s="29">
        <v>1.4963385535229432</v>
      </c>
      <c r="E16" s="29">
        <v>4.1208688735909629</v>
      </c>
      <c r="F16" s="30">
        <v>1</v>
      </c>
      <c r="G16" s="31">
        <v>1</v>
      </c>
      <c r="H16" s="31">
        <v>0</v>
      </c>
      <c r="I16" s="31">
        <v>0</v>
      </c>
      <c r="J16" s="31">
        <v>1</v>
      </c>
      <c r="K16" s="31">
        <v>0</v>
      </c>
      <c r="L16" s="35">
        <v>0</v>
      </c>
      <c r="M16" s="35">
        <v>0</v>
      </c>
      <c r="N16" s="35">
        <v>1</v>
      </c>
      <c r="O16" s="35">
        <v>0</v>
      </c>
      <c r="P16" s="37">
        <f t="shared" si="1"/>
        <v>0.55925173708126119</v>
      </c>
      <c r="Q16" s="36">
        <f t="shared" si="2"/>
        <v>0.397303484037692</v>
      </c>
      <c r="R16" s="36">
        <f t="shared" si="3"/>
        <v>0.70934365531008892</v>
      </c>
    </row>
    <row r="17" spans="1:18" x14ac:dyDescent="0.3">
      <c r="A17" s="19" t="s">
        <v>15</v>
      </c>
      <c r="B17" s="3">
        <v>1</v>
      </c>
      <c r="C17" s="29">
        <v>1.9260784904966051</v>
      </c>
      <c r="D17" s="29">
        <v>1.6753463793076977</v>
      </c>
      <c r="E17" s="29">
        <v>3.601424869804303</v>
      </c>
      <c r="F17" s="30">
        <v>2</v>
      </c>
      <c r="G17" s="31">
        <v>2</v>
      </c>
      <c r="H17" s="31">
        <v>1</v>
      </c>
      <c r="I17" s="31">
        <v>1</v>
      </c>
      <c r="J17" s="31">
        <v>0</v>
      </c>
      <c r="K17" s="31">
        <v>0</v>
      </c>
      <c r="L17" s="35">
        <v>1</v>
      </c>
      <c r="M17" s="35">
        <v>1</v>
      </c>
      <c r="N17" s="35">
        <v>0</v>
      </c>
      <c r="O17" s="35">
        <v>0</v>
      </c>
      <c r="P17" s="37">
        <f t="shared" si="1"/>
        <v>0.46628597166364516</v>
      </c>
      <c r="Q17" s="36">
        <f t="shared" si="2"/>
        <v>0.42738001846317986</v>
      </c>
      <c r="R17" s="36">
        <f t="shared" si="3"/>
        <v>0.66289233543662107</v>
      </c>
    </row>
    <row r="18" spans="1:18" x14ac:dyDescent="0.3">
      <c r="A18" s="19" t="s">
        <v>16</v>
      </c>
      <c r="B18" s="3">
        <v>1</v>
      </c>
      <c r="C18" s="29">
        <v>2.6736111111111143</v>
      </c>
      <c r="D18" s="29">
        <v>2.1412037037037059</v>
      </c>
      <c r="E18" s="29">
        <v>4.8148148148148202</v>
      </c>
      <c r="F18" s="30">
        <v>2</v>
      </c>
      <c r="G18" s="31">
        <v>2</v>
      </c>
      <c r="H18" s="31">
        <v>1</v>
      </c>
      <c r="I18" s="31">
        <v>0</v>
      </c>
      <c r="J18" s="31">
        <v>1</v>
      </c>
      <c r="K18" s="31">
        <v>0</v>
      </c>
      <c r="L18" s="35">
        <v>1</v>
      </c>
      <c r="M18" s="35">
        <v>0</v>
      </c>
      <c r="N18" s="35">
        <v>1</v>
      </c>
      <c r="O18" s="35">
        <v>0</v>
      </c>
      <c r="P18" s="37">
        <f t="shared" si="1"/>
        <v>0.56509317993993646</v>
      </c>
      <c r="Q18" s="36">
        <f t="shared" si="2"/>
        <v>0.49709610084482531</v>
      </c>
      <c r="R18" s="36">
        <f t="shared" si="3"/>
        <v>0.76453588825024688</v>
      </c>
    </row>
    <row r="19" spans="1:18" x14ac:dyDescent="0.3">
      <c r="A19" s="19" t="s">
        <v>17</v>
      </c>
      <c r="B19" s="3">
        <v>1</v>
      </c>
      <c r="C19" s="29">
        <v>2.7223552796650186</v>
      </c>
      <c r="D19" s="29">
        <v>1.1077982523312195</v>
      </c>
      <c r="E19" s="29">
        <v>3.8301535319962379</v>
      </c>
      <c r="F19" s="30">
        <v>1</v>
      </c>
      <c r="G19" s="31">
        <v>1</v>
      </c>
      <c r="H19" s="31">
        <v>0</v>
      </c>
      <c r="I19" s="31">
        <v>1</v>
      </c>
      <c r="J19" s="31">
        <v>0</v>
      </c>
      <c r="K19" s="31">
        <v>0</v>
      </c>
      <c r="L19" s="35">
        <v>0</v>
      </c>
      <c r="M19" s="35">
        <v>1</v>
      </c>
      <c r="N19" s="35">
        <v>0</v>
      </c>
      <c r="O19" s="35">
        <v>0</v>
      </c>
      <c r="P19" s="37">
        <f t="shared" si="1"/>
        <v>0.57081782194747144</v>
      </c>
      <c r="Q19" s="36">
        <f t="shared" si="2"/>
        <v>0.3238290400830503</v>
      </c>
      <c r="R19" s="36">
        <f t="shared" si="3"/>
        <v>0.68396093552149773</v>
      </c>
    </row>
    <row r="20" spans="1:18" x14ac:dyDescent="0.3">
      <c r="A20" s="19" t="s">
        <v>18</v>
      </c>
      <c r="B20" s="3">
        <v>1</v>
      </c>
      <c r="C20" s="29">
        <v>2.4825132335570914</v>
      </c>
      <c r="D20" s="29">
        <v>2.5490091237416563</v>
      </c>
      <c r="E20" s="29">
        <v>5.0315223572987477</v>
      </c>
      <c r="F20" s="30">
        <v>4</v>
      </c>
      <c r="G20" s="31">
        <v>3</v>
      </c>
      <c r="H20" s="31">
        <v>2</v>
      </c>
      <c r="I20" s="31">
        <v>1</v>
      </c>
      <c r="J20" s="31">
        <v>1</v>
      </c>
      <c r="K20" s="31">
        <v>0</v>
      </c>
      <c r="L20" s="35">
        <v>1</v>
      </c>
      <c r="M20" s="35">
        <v>1</v>
      </c>
      <c r="N20" s="35">
        <v>1</v>
      </c>
      <c r="O20" s="35">
        <v>0</v>
      </c>
      <c r="P20" s="37">
        <f t="shared" si="1"/>
        <v>0.54189277541901648</v>
      </c>
      <c r="Q20" s="36">
        <f t="shared" si="2"/>
        <v>0.55010711582704119</v>
      </c>
      <c r="R20" s="36">
        <f t="shared" si="3"/>
        <v>0.78042694197928053</v>
      </c>
    </row>
    <row r="21" spans="1:18" x14ac:dyDescent="0.3">
      <c r="A21" s="19" t="s">
        <v>19</v>
      </c>
      <c r="B21" s="3">
        <v>1</v>
      </c>
      <c r="C21" s="29">
        <v>3.4669929718875503</v>
      </c>
      <c r="D21" s="29">
        <v>4.6792282767433377</v>
      </c>
      <c r="E21" s="29">
        <v>8.1462212486308871</v>
      </c>
      <c r="F21" s="30">
        <v>16</v>
      </c>
      <c r="G21" s="31">
        <v>3</v>
      </c>
      <c r="H21" s="31">
        <v>0</v>
      </c>
      <c r="I21" s="31">
        <v>6</v>
      </c>
      <c r="J21" s="31">
        <v>5</v>
      </c>
      <c r="K21" s="31">
        <v>5</v>
      </c>
      <c r="L21" s="35">
        <v>0</v>
      </c>
      <c r="M21" s="35">
        <v>1</v>
      </c>
      <c r="N21" s="35">
        <v>1</v>
      </c>
      <c r="O21" s="35">
        <v>1</v>
      </c>
      <c r="P21" s="37">
        <f t="shared" si="1"/>
        <v>0.65001526917816133</v>
      </c>
      <c r="Q21" s="36">
        <f t="shared" si="2"/>
        <v>0.75428932551344641</v>
      </c>
      <c r="R21" s="36">
        <f t="shared" si="3"/>
        <v>0.96124170282832067</v>
      </c>
    </row>
    <row r="22" spans="1:18" x14ac:dyDescent="0.3">
      <c r="A22" s="19" t="s">
        <v>20</v>
      </c>
      <c r="B22" s="3">
        <v>1</v>
      </c>
      <c r="C22" s="29">
        <v>2.492872340425536</v>
      </c>
      <c r="D22" s="29">
        <v>2.1084574468085138</v>
      </c>
      <c r="E22" s="29">
        <v>4.6013297872340502</v>
      </c>
      <c r="F22" s="30">
        <v>4</v>
      </c>
      <c r="G22" s="31">
        <v>2</v>
      </c>
      <c r="H22" s="31">
        <v>2</v>
      </c>
      <c r="I22" s="31">
        <v>0</v>
      </c>
      <c r="J22" s="31">
        <v>2</v>
      </c>
      <c r="K22" s="31">
        <v>0</v>
      </c>
      <c r="L22" s="35">
        <v>1</v>
      </c>
      <c r="M22" s="35">
        <v>0</v>
      </c>
      <c r="N22" s="35">
        <v>1</v>
      </c>
      <c r="O22" s="35">
        <v>0</v>
      </c>
      <c r="P22" s="37">
        <f t="shared" si="1"/>
        <v>0.54318271307483534</v>
      </c>
      <c r="Q22" s="36">
        <f t="shared" si="2"/>
        <v>0.49254492647569004</v>
      </c>
      <c r="R22" s="36">
        <f t="shared" si="3"/>
        <v>0.7482911432024979</v>
      </c>
    </row>
    <row r="23" spans="1:18" x14ac:dyDescent="0.3">
      <c r="A23" s="19" t="s">
        <v>21</v>
      </c>
      <c r="B23" s="3">
        <v>1</v>
      </c>
      <c r="C23" s="29">
        <v>2.7112077215432171</v>
      </c>
      <c r="D23" s="29">
        <v>3.7530692040576406</v>
      </c>
      <c r="E23" s="29">
        <v>6.4642769256008581</v>
      </c>
      <c r="F23" s="30">
        <v>60</v>
      </c>
      <c r="G23" s="31">
        <v>4</v>
      </c>
      <c r="H23" s="31">
        <v>16</v>
      </c>
      <c r="I23" s="31">
        <v>12</v>
      </c>
      <c r="J23" s="31">
        <v>20</v>
      </c>
      <c r="K23" s="31">
        <v>12</v>
      </c>
      <c r="L23" s="35">
        <v>1</v>
      </c>
      <c r="M23" s="35">
        <v>1</v>
      </c>
      <c r="N23" s="35">
        <v>1</v>
      </c>
      <c r="O23" s="35">
        <v>1</v>
      </c>
      <c r="P23" s="37">
        <f t="shared" si="1"/>
        <v>0.56951526310526079</v>
      </c>
      <c r="Q23" s="36">
        <f t="shared" si="2"/>
        <v>0.67697413761088709</v>
      </c>
      <c r="R23" s="36">
        <f t="shared" si="3"/>
        <v>0.87298774341654606</v>
      </c>
    </row>
    <row r="24" spans="1:18" x14ac:dyDescent="0.3">
      <c r="A24" s="19" t="s">
        <v>22</v>
      </c>
      <c r="B24" s="3">
        <v>2</v>
      </c>
      <c r="C24" s="29">
        <v>3.0371729374241485</v>
      </c>
      <c r="D24" s="29">
        <v>2.7599706455163893</v>
      </c>
      <c r="E24" s="29">
        <v>5.7971435829405378</v>
      </c>
      <c r="F24" s="30">
        <v>4</v>
      </c>
      <c r="G24" s="31">
        <v>4</v>
      </c>
      <c r="H24" s="31">
        <v>1</v>
      </c>
      <c r="I24" s="31">
        <v>1</v>
      </c>
      <c r="J24" s="31">
        <v>1</v>
      </c>
      <c r="K24" s="31">
        <v>1</v>
      </c>
      <c r="L24" s="35">
        <v>1</v>
      </c>
      <c r="M24" s="35">
        <v>1</v>
      </c>
      <c r="N24" s="35">
        <v>1</v>
      </c>
      <c r="O24" s="35">
        <v>1</v>
      </c>
      <c r="P24" s="37">
        <f t="shared" si="1"/>
        <v>0.60607735336383783</v>
      </c>
      <c r="Q24" s="36">
        <f t="shared" si="2"/>
        <v>0.57518445435850796</v>
      </c>
      <c r="R24" s="36">
        <f t="shared" si="3"/>
        <v>0.83232644406087408</v>
      </c>
    </row>
    <row r="25" spans="1:18" x14ac:dyDescent="0.3">
      <c r="A25" s="19" t="s">
        <v>23</v>
      </c>
      <c r="B25" s="3">
        <v>2</v>
      </c>
      <c r="C25" s="29">
        <v>3.112033898305075</v>
      </c>
      <c r="D25" s="29">
        <v>5.4400282485875531</v>
      </c>
      <c r="E25" s="29">
        <v>8.5520621468926272</v>
      </c>
      <c r="F25" s="30">
        <v>2</v>
      </c>
      <c r="G25" s="31">
        <v>1</v>
      </c>
      <c r="H25" s="31">
        <v>2</v>
      </c>
      <c r="I25" s="31">
        <v>0</v>
      </c>
      <c r="J25" s="31">
        <v>0</v>
      </c>
      <c r="K25" s="31">
        <v>0</v>
      </c>
      <c r="L25" s="35">
        <v>1</v>
      </c>
      <c r="M25" s="35">
        <v>0</v>
      </c>
      <c r="N25" s="35">
        <v>0</v>
      </c>
      <c r="O25" s="35">
        <v>0</v>
      </c>
      <c r="P25" s="37">
        <f t="shared" si="1"/>
        <v>0.61405668618813336</v>
      </c>
      <c r="Q25" s="36">
        <f t="shared" si="2"/>
        <v>0.80888777235651854</v>
      </c>
      <c r="R25" s="36">
        <f t="shared" si="3"/>
        <v>0.98009713936786658</v>
      </c>
    </row>
    <row r="26" spans="1:18" x14ac:dyDescent="0.3">
      <c r="A26" s="19" t="s">
        <v>24</v>
      </c>
      <c r="B26" s="3">
        <v>2</v>
      </c>
      <c r="C26" s="29">
        <v>4.6125581395348858</v>
      </c>
      <c r="D26" s="29">
        <v>4.5021511627907005</v>
      </c>
      <c r="E26" s="29">
        <v>9.1147093023255863</v>
      </c>
      <c r="F26" s="30">
        <v>60</v>
      </c>
      <c r="G26" s="31">
        <v>4</v>
      </c>
      <c r="H26" s="31">
        <v>16</v>
      </c>
      <c r="I26" s="31">
        <v>12</v>
      </c>
      <c r="J26" s="31">
        <v>20</v>
      </c>
      <c r="K26" s="31">
        <v>12</v>
      </c>
      <c r="L26" s="35">
        <v>1</v>
      </c>
      <c r="M26" s="35">
        <v>1</v>
      </c>
      <c r="N26" s="35">
        <v>1</v>
      </c>
      <c r="O26" s="35">
        <v>1</v>
      </c>
      <c r="P26" s="37">
        <f t="shared" si="1"/>
        <v>0.74916085281733102</v>
      </c>
      <c r="Q26" s="36">
        <f t="shared" si="2"/>
        <v>0.7405325177628721</v>
      </c>
      <c r="R26" s="36">
        <f t="shared" si="3"/>
        <v>1.004953405622881</v>
      </c>
    </row>
    <row r="27" spans="1:18" x14ac:dyDescent="0.3">
      <c r="A27" s="19" t="s">
        <v>25</v>
      </c>
      <c r="B27" s="3">
        <v>2</v>
      </c>
      <c r="C27" s="29">
        <v>2.0485990819331312</v>
      </c>
      <c r="D27" s="29">
        <v>1.9073163866273986</v>
      </c>
      <c r="E27" s="29">
        <v>3.9559154685605296</v>
      </c>
      <c r="F27" s="30">
        <v>1</v>
      </c>
      <c r="G27" s="31">
        <v>1</v>
      </c>
      <c r="H27" s="31">
        <v>0</v>
      </c>
      <c r="I27" s="31">
        <v>0</v>
      </c>
      <c r="J27" s="31">
        <v>1</v>
      </c>
      <c r="K27" s="31">
        <v>0</v>
      </c>
      <c r="L27" s="35">
        <v>0</v>
      </c>
      <c r="M27" s="35">
        <v>0</v>
      </c>
      <c r="N27" s="35">
        <v>1</v>
      </c>
      <c r="O27" s="35">
        <v>0</v>
      </c>
      <c r="P27" s="37">
        <f t="shared" si="1"/>
        <v>0.48410031450884611</v>
      </c>
      <c r="Q27" s="36">
        <f t="shared" si="2"/>
        <v>0.46349229612875498</v>
      </c>
      <c r="R27" s="36">
        <f t="shared" si="3"/>
        <v>0.69512389014736808</v>
      </c>
    </row>
    <row r="28" spans="1:18" x14ac:dyDescent="0.3">
      <c r="A28" s="19" t="s">
        <v>26</v>
      </c>
      <c r="B28" s="3">
        <v>2</v>
      </c>
      <c r="C28" s="29">
        <v>2.5926662485275838</v>
      </c>
      <c r="D28" s="29">
        <v>1.8876429704192057</v>
      </c>
      <c r="E28" s="29">
        <v>4.4803092189467897</v>
      </c>
      <c r="F28" s="30">
        <v>1</v>
      </c>
      <c r="G28" s="31">
        <v>1</v>
      </c>
      <c r="H28" s="31">
        <v>1</v>
      </c>
      <c r="I28" s="31">
        <v>0</v>
      </c>
      <c r="J28" s="31">
        <v>0</v>
      </c>
      <c r="K28" s="31">
        <v>0</v>
      </c>
      <c r="L28" s="35">
        <v>1</v>
      </c>
      <c r="M28" s="35">
        <v>0</v>
      </c>
      <c r="N28" s="35">
        <v>0</v>
      </c>
      <c r="O28" s="35">
        <v>0</v>
      </c>
      <c r="P28" s="37">
        <f t="shared" si="1"/>
        <v>0.55541687399418338</v>
      </c>
      <c r="Q28" s="36">
        <f t="shared" si="2"/>
        <v>0.46054349583596083</v>
      </c>
      <c r="R28" s="36">
        <f t="shared" si="3"/>
        <v>0.73880506364743415</v>
      </c>
    </row>
    <row r="29" spans="1:18" x14ac:dyDescent="0.3">
      <c r="A29" s="19" t="s">
        <v>27</v>
      </c>
      <c r="B29" s="3">
        <v>2</v>
      </c>
      <c r="C29" s="29">
        <v>3.2872248796052088</v>
      </c>
      <c r="D29" s="29">
        <v>2.3917801095335389</v>
      </c>
      <c r="E29" s="29">
        <v>5.6790049891387477</v>
      </c>
      <c r="F29" s="30">
        <v>4</v>
      </c>
      <c r="G29" s="31">
        <v>2</v>
      </c>
      <c r="H29" s="31">
        <v>0</v>
      </c>
      <c r="I29" s="31">
        <v>2</v>
      </c>
      <c r="J29" s="31">
        <v>0</v>
      </c>
      <c r="K29" s="31">
        <v>2</v>
      </c>
      <c r="L29" s="35">
        <v>0</v>
      </c>
      <c r="M29" s="35">
        <v>1</v>
      </c>
      <c r="N29" s="35">
        <v>0</v>
      </c>
      <c r="O29" s="35">
        <v>1</v>
      </c>
      <c r="P29" s="37">
        <f t="shared" si="1"/>
        <v>0.63217626433876073</v>
      </c>
      <c r="Q29" s="36">
        <f t="shared" si="2"/>
        <v>0.53042768901165094</v>
      </c>
      <c r="R29" s="36">
        <f t="shared" si="3"/>
        <v>0.82471176787776301</v>
      </c>
    </row>
    <row r="30" spans="1:18" x14ac:dyDescent="0.3">
      <c r="A30" s="19" t="s">
        <v>28</v>
      </c>
      <c r="B30" s="3">
        <v>2</v>
      </c>
      <c r="C30" s="29">
        <v>16.89060240963849</v>
      </c>
      <c r="D30" s="29">
        <v>0.1628915662650596</v>
      </c>
      <c r="E30" s="29">
        <v>17.05349397590355</v>
      </c>
      <c r="F30" s="30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5">
        <v>0</v>
      </c>
      <c r="M30" s="35">
        <v>0</v>
      </c>
      <c r="N30" s="35">
        <v>0</v>
      </c>
      <c r="O30" s="35">
        <v>0</v>
      </c>
      <c r="P30" s="37">
        <f t="shared" si="1"/>
        <v>1.2526249643112033</v>
      </c>
      <c r="Q30" s="36">
        <f t="shared" si="2"/>
        <v>6.5539220860674083E-2</v>
      </c>
      <c r="R30" s="36">
        <f t="shared" si="3"/>
        <v>1.2565612653890028</v>
      </c>
    </row>
    <row r="31" spans="1:18" x14ac:dyDescent="0.3">
      <c r="A31" s="19" t="s">
        <v>29</v>
      </c>
      <c r="B31" s="3">
        <v>2</v>
      </c>
      <c r="C31" s="29">
        <v>2.6842458100558613</v>
      </c>
      <c r="D31" s="29">
        <v>1.4379888268156398</v>
      </c>
      <c r="E31" s="29">
        <v>4.122234636871501</v>
      </c>
      <c r="F31" s="30">
        <v>2</v>
      </c>
      <c r="G31" s="31">
        <v>2</v>
      </c>
      <c r="H31" s="31">
        <v>0</v>
      </c>
      <c r="I31" s="31">
        <v>0</v>
      </c>
      <c r="J31" s="31">
        <v>1</v>
      </c>
      <c r="K31" s="31">
        <v>1</v>
      </c>
      <c r="L31" s="35">
        <v>0</v>
      </c>
      <c r="M31" s="35">
        <v>0</v>
      </c>
      <c r="N31" s="35">
        <v>1</v>
      </c>
      <c r="O31" s="35">
        <v>1</v>
      </c>
      <c r="P31" s="37">
        <f t="shared" si="1"/>
        <v>0.56634859828634954</v>
      </c>
      <c r="Q31" s="36">
        <f t="shared" si="2"/>
        <v>0.38703171093641064</v>
      </c>
      <c r="R31" s="36">
        <f t="shared" si="3"/>
        <v>0.70945946854173947</v>
      </c>
    </row>
    <row r="32" spans="1:18" x14ac:dyDescent="0.3">
      <c r="A32" s="19" t="s">
        <v>30</v>
      </c>
      <c r="B32" s="3">
        <v>2</v>
      </c>
      <c r="C32" s="29">
        <v>2.7720178649309624</v>
      </c>
      <c r="D32" s="29">
        <v>8.3279506671745662E-2</v>
      </c>
      <c r="E32" s="29">
        <v>2.8552973716027084</v>
      </c>
      <c r="F32" s="30">
        <v>4</v>
      </c>
      <c r="G32" s="31">
        <v>1</v>
      </c>
      <c r="H32" s="31">
        <v>0</v>
      </c>
      <c r="I32" s="31">
        <v>4</v>
      </c>
      <c r="J32" s="31">
        <v>0</v>
      </c>
      <c r="K32" s="31">
        <v>0</v>
      </c>
      <c r="L32" s="35">
        <v>0</v>
      </c>
      <c r="M32" s="35">
        <v>1</v>
      </c>
      <c r="N32" s="35">
        <v>0</v>
      </c>
      <c r="O32" s="35">
        <v>0</v>
      </c>
      <c r="P32" s="37">
        <f t="shared" si="1"/>
        <v>0.57657374096416758</v>
      </c>
      <c r="Q32" s="36">
        <f t="shared" si="2"/>
        <v>3.4740527302713556E-2</v>
      </c>
      <c r="R32" s="36">
        <f t="shared" si="3"/>
        <v>0.58605788222231825</v>
      </c>
    </row>
    <row r="33" spans="1:18" x14ac:dyDescent="0.3">
      <c r="A33" s="19" t="s">
        <v>31</v>
      </c>
      <c r="B33" s="3">
        <v>2</v>
      </c>
      <c r="C33" s="29">
        <v>1.7048642441145117</v>
      </c>
      <c r="D33" s="29">
        <v>2.2968309955431616</v>
      </c>
      <c r="E33" s="29">
        <v>4.001695239657673</v>
      </c>
      <c r="F33" s="30">
        <v>16</v>
      </c>
      <c r="G33" s="31">
        <v>2</v>
      </c>
      <c r="H33" s="31">
        <v>8</v>
      </c>
      <c r="I33" s="31">
        <v>8</v>
      </c>
      <c r="J33" s="31">
        <v>0</v>
      </c>
      <c r="K33" s="31">
        <v>0</v>
      </c>
      <c r="L33" s="35">
        <v>1</v>
      </c>
      <c r="M33" s="35">
        <v>1</v>
      </c>
      <c r="N33" s="35">
        <v>0</v>
      </c>
      <c r="O33" s="35">
        <v>0</v>
      </c>
      <c r="P33" s="37">
        <f t="shared" si="1"/>
        <v>0.43214547295036382</v>
      </c>
      <c r="Q33" s="36">
        <f t="shared" si="2"/>
        <v>0.51809668460621883</v>
      </c>
      <c r="R33" s="36">
        <f t="shared" si="3"/>
        <v>0.69911722602559034</v>
      </c>
    </row>
    <row r="34" spans="1:18" x14ac:dyDescent="0.3">
      <c r="A34" s="19" t="s">
        <v>32</v>
      </c>
      <c r="B34" s="3">
        <v>2</v>
      </c>
      <c r="C34" s="29">
        <v>2.1590697674418617</v>
      </c>
      <c r="D34" s="29">
        <v>3.2508720930232577</v>
      </c>
      <c r="E34" s="29">
        <v>5.4099418604651186</v>
      </c>
      <c r="F34" s="30">
        <v>8</v>
      </c>
      <c r="G34" s="31">
        <v>1</v>
      </c>
      <c r="H34" s="31">
        <v>0</v>
      </c>
      <c r="I34" s="31">
        <v>0</v>
      </c>
      <c r="J34" s="31">
        <v>8</v>
      </c>
      <c r="K34" s="31">
        <v>0</v>
      </c>
      <c r="L34" s="35">
        <v>0</v>
      </c>
      <c r="M34" s="35">
        <v>0</v>
      </c>
      <c r="N34" s="35">
        <v>1</v>
      </c>
      <c r="O34" s="35">
        <v>0</v>
      </c>
      <c r="P34" s="37">
        <f t="shared" si="1"/>
        <v>0.49955921732029113</v>
      </c>
      <c r="Q34" s="36">
        <f t="shared" si="2"/>
        <v>0.62847803742303554</v>
      </c>
      <c r="R34" s="36">
        <f t="shared" si="3"/>
        <v>0.80685409039343692</v>
      </c>
    </row>
    <row r="35" spans="1:18" x14ac:dyDescent="0.3">
      <c r="A35" s="19" t="s">
        <v>33</v>
      </c>
      <c r="B35" s="3">
        <v>2</v>
      </c>
      <c r="C35" s="29">
        <v>3.8665485240453337</v>
      </c>
      <c r="D35" s="29">
        <v>3.6048129316484188</v>
      </c>
      <c r="E35" s="29">
        <v>7.4713614556937529</v>
      </c>
      <c r="F35" s="30">
        <v>1</v>
      </c>
      <c r="G35" s="31">
        <v>1</v>
      </c>
      <c r="H35" s="31">
        <v>0</v>
      </c>
      <c r="I35" s="31">
        <v>1</v>
      </c>
      <c r="J35" s="31">
        <v>0</v>
      </c>
      <c r="K35" s="31">
        <v>0</v>
      </c>
      <c r="L35" s="35">
        <v>0</v>
      </c>
      <c r="M35" s="35">
        <v>1</v>
      </c>
      <c r="N35" s="35">
        <v>0</v>
      </c>
      <c r="O35" s="35">
        <v>0</v>
      </c>
      <c r="P35" s="37">
        <f t="shared" si="1"/>
        <v>0.68722105805560041</v>
      </c>
      <c r="Q35" s="36">
        <f t="shared" si="2"/>
        <v>0.66321199188291502</v>
      </c>
      <c r="R35" s="36">
        <f t="shared" si="3"/>
        <v>0.92795321259517916</v>
      </c>
    </row>
    <row r="36" spans="1:18" x14ac:dyDescent="0.3">
      <c r="A36" s="19" t="s">
        <v>34</v>
      </c>
      <c r="B36" s="3">
        <v>2</v>
      </c>
      <c r="C36" s="29">
        <v>2.6062650602409665</v>
      </c>
      <c r="D36" s="29">
        <v>3.0698795180722929</v>
      </c>
      <c r="E36" s="29">
        <v>5.6761445783132594</v>
      </c>
      <c r="F36" s="30">
        <v>8</v>
      </c>
      <c r="G36" s="31">
        <v>4</v>
      </c>
      <c r="H36" s="31">
        <v>2</v>
      </c>
      <c r="I36" s="31">
        <v>2</v>
      </c>
      <c r="J36" s="31">
        <v>2</v>
      </c>
      <c r="K36" s="31">
        <v>2</v>
      </c>
      <c r="L36" s="35">
        <v>1</v>
      </c>
      <c r="M36" s="35">
        <v>1</v>
      </c>
      <c r="N36" s="35">
        <v>1</v>
      </c>
      <c r="O36" s="35">
        <v>1</v>
      </c>
      <c r="P36" s="37">
        <f t="shared" si="1"/>
        <v>0.55705764417492365</v>
      </c>
      <c r="Q36" s="36">
        <f t="shared" si="2"/>
        <v>0.60958155285891635</v>
      </c>
      <c r="R36" s="36">
        <f t="shared" si="3"/>
        <v>0.82452573317254196</v>
      </c>
    </row>
    <row r="37" spans="1:18" x14ac:dyDescent="0.3">
      <c r="A37" s="19" t="s">
        <v>35</v>
      </c>
      <c r="B37" s="3">
        <v>2</v>
      </c>
      <c r="C37" s="29">
        <v>4.8570925376138625</v>
      </c>
      <c r="D37" s="29">
        <v>3.5019037555141916</v>
      </c>
      <c r="E37" s="29">
        <v>8.3589962931280546</v>
      </c>
      <c r="F37" s="30">
        <v>1</v>
      </c>
      <c r="G37" s="31">
        <v>1</v>
      </c>
      <c r="H37" s="31">
        <v>0</v>
      </c>
      <c r="I37" s="31">
        <v>0</v>
      </c>
      <c r="J37" s="31">
        <v>0</v>
      </c>
      <c r="K37" s="31">
        <v>1</v>
      </c>
      <c r="L37" s="35">
        <v>0</v>
      </c>
      <c r="M37" s="35">
        <v>0</v>
      </c>
      <c r="N37" s="35">
        <v>0</v>
      </c>
      <c r="O37" s="35">
        <v>1</v>
      </c>
      <c r="P37" s="37">
        <f t="shared" si="1"/>
        <v>0.7676820856051485</v>
      </c>
      <c r="Q37" s="36">
        <f t="shared" si="2"/>
        <v>0.65339620614742133</v>
      </c>
      <c r="R37" s="36">
        <f t="shared" si="3"/>
        <v>0.97122927526274083</v>
      </c>
    </row>
    <row r="38" spans="1:18" x14ac:dyDescent="0.3">
      <c r="A38" s="19" t="s">
        <v>36</v>
      </c>
      <c r="B38" s="3">
        <v>2</v>
      </c>
      <c r="C38" s="29">
        <v>3.532953216374259</v>
      </c>
      <c r="D38" s="29">
        <v>0.50470760233917988</v>
      </c>
      <c r="E38" s="29">
        <v>4.0376608187134382</v>
      </c>
      <c r="F38" s="30">
        <v>4</v>
      </c>
      <c r="G38" s="31">
        <v>3</v>
      </c>
      <c r="H38" s="31">
        <v>0</v>
      </c>
      <c r="I38" s="31">
        <v>2</v>
      </c>
      <c r="J38" s="31">
        <v>1</v>
      </c>
      <c r="K38" s="31">
        <v>1</v>
      </c>
      <c r="L38" s="35">
        <v>0</v>
      </c>
      <c r="M38" s="35">
        <v>1</v>
      </c>
      <c r="N38" s="35">
        <v>1</v>
      </c>
      <c r="O38" s="35">
        <v>1</v>
      </c>
      <c r="P38" s="37">
        <f t="shared" si="1"/>
        <v>0.65638123682278426</v>
      </c>
      <c r="Q38" s="36">
        <f t="shared" si="2"/>
        <v>0.1774521151936729</v>
      </c>
      <c r="R38" s="36">
        <f t="shared" si="3"/>
        <v>0.70222892347969035</v>
      </c>
    </row>
    <row r="39" spans="1:18" x14ac:dyDescent="0.3">
      <c r="A39" s="19" t="s">
        <v>37</v>
      </c>
      <c r="B39" s="3">
        <v>2</v>
      </c>
      <c r="C39" s="29">
        <v>2.3574568152027173</v>
      </c>
      <c r="D39" s="29">
        <v>1.3811363159773495</v>
      </c>
      <c r="E39" s="29">
        <v>3.7385931311800666</v>
      </c>
      <c r="F39" s="30">
        <v>8</v>
      </c>
      <c r="G39" s="31">
        <v>2</v>
      </c>
      <c r="H39" s="31">
        <v>0</v>
      </c>
      <c r="I39" s="31">
        <v>4</v>
      </c>
      <c r="J39" s="31">
        <v>0</v>
      </c>
      <c r="K39" s="31">
        <v>4</v>
      </c>
      <c r="L39" s="35">
        <v>0</v>
      </c>
      <c r="M39" s="35">
        <v>1</v>
      </c>
      <c r="N39" s="35">
        <v>0</v>
      </c>
      <c r="O39" s="35">
        <v>1</v>
      </c>
      <c r="P39" s="37">
        <f t="shared" si="1"/>
        <v>0.52601043532741631</v>
      </c>
      <c r="Q39" s="36">
        <f t="shared" si="2"/>
        <v>0.37678425873211213</v>
      </c>
      <c r="R39" s="36">
        <f t="shared" si="3"/>
        <v>0.67564942056495214</v>
      </c>
    </row>
    <row r="40" spans="1:18" x14ac:dyDescent="0.3">
      <c r="A40" s="19" t="s">
        <v>38</v>
      </c>
      <c r="B40" s="3">
        <v>2</v>
      </c>
      <c r="C40" s="29">
        <v>1.9061329396002527</v>
      </c>
      <c r="D40" s="29">
        <v>0.79323544691439107</v>
      </c>
      <c r="E40" s="29">
        <v>2.6993683865146436</v>
      </c>
      <c r="F40" s="30">
        <v>16</v>
      </c>
      <c r="G40" s="31">
        <v>4</v>
      </c>
      <c r="H40" s="31">
        <v>4</v>
      </c>
      <c r="I40" s="31">
        <v>4</v>
      </c>
      <c r="J40" s="31">
        <v>4</v>
      </c>
      <c r="K40" s="31">
        <v>4</v>
      </c>
      <c r="L40" s="35">
        <v>1</v>
      </c>
      <c r="M40" s="35">
        <v>1</v>
      </c>
      <c r="N40" s="35">
        <v>1</v>
      </c>
      <c r="O40" s="35">
        <v>1</v>
      </c>
      <c r="P40" s="37">
        <f t="shared" si="1"/>
        <v>0.46331547700063597</v>
      </c>
      <c r="Q40" s="36">
        <f t="shared" si="2"/>
        <v>0.25363731498472503</v>
      </c>
      <c r="R40" s="36">
        <f t="shared" si="3"/>
        <v>0.56812758091376259</v>
      </c>
    </row>
    <row r="41" spans="1:18" x14ac:dyDescent="0.3">
      <c r="A41" s="19" t="s">
        <v>39</v>
      </c>
      <c r="B41" s="3">
        <v>2</v>
      </c>
      <c r="C41" s="29">
        <v>3.1921839080459828</v>
      </c>
      <c r="D41" s="29">
        <v>2.0712643678160956</v>
      </c>
      <c r="E41" s="29">
        <v>5.2634482758620793</v>
      </c>
      <c r="F41" s="30">
        <v>2</v>
      </c>
      <c r="G41" s="31">
        <v>1</v>
      </c>
      <c r="H41" s="31">
        <v>0</v>
      </c>
      <c r="I41" s="31">
        <v>2</v>
      </c>
      <c r="J41" s="31">
        <v>0</v>
      </c>
      <c r="K41" s="31">
        <v>0</v>
      </c>
      <c r="L41" s="35">
        <v>0</v>
      </c>
      <c r="M41" s="35">
        <v>1</v>
      </c>
      <c r="N41" s="35">
        <v>0</v>
      </c>
      <c r="O41" s="35">
        <v>0</v>
      </c>
      <c r="P41" s="37">
        <f t="shared" si="1"/>
        <v>0.62244032657528803</v>
      </c>
      <c r="Q41" s="36">
        <f t="shared" si="2"/>
        <v>0.48731720118489003</v>
      </c>
      <c r="R41" s="36">
        <f t="shared" si="3"/>
        <v>0.7968134953299737</v>
      </c>
    </row>
    <row r="42" spans="1:18" x14ac:dyDescent="0.3">
      <c r="A42" s="19" t="s">
        <v>40</v>
      </c>
      <c r="B42" s="3">
        <v>2</v>
      </c>
      <c r="C42" s="29">
        <v>2.8363005780346779</v>
      </c>
      <c r="D42" s="29">
        <v>0.9658092485549119</v>
      </c>
      <c r="E42" s="29">
        <v>3.8021098265895898</v>
      </c>
      <c r="F42" s="30">
        <v>2</v>
      </c>
      <c r="G42" s="31">
        <v>2</v>
      </c>
      <c r="H42" s="31">
        <v>0</v>
      </c>
      <c r="I42" s="31">
        <v>1</v>
      </c>
      <c r="J42" s="31">
        <v>0</v>
      </c>
      <c r="K42" s="31">
        <v>1</v>
      </c>
      <c r="L42" s="35">
        <v>0</v>
      </c>
      <c r="M42" s="35">
        <v>1</v>
      </c>
      <c r="N42" s="35">
        <v>0</v>
      </c>
      <c r="O42" s="35">
        <v>1</v>
      </c>
      <c r="P42" s="37">
        <f t="shared" si="1"/>
        <v>0.58391262724413229</v>
      </c>
      <c r="Q42" s="36">
        <f t="shared" si="2"/>
        <v>0.2935413739644942</v>
      </c>
      <c r="R42" s="36">
        <f t="shared" si="3"/>
        <v>0.68143208836082381</v>
      </c>
    </row>
    <row r="43" spans="1:18" x14ac:dyDescent="0.3">
      <c r="A43" s="19" t="s">
        <v>41</v>
      </c>
      <c r="B43" s="3">
        <v>2</v>
      </c>
      <c r="C43" s="29">
        <v>3.1457014323632388</v>
      </c>
      <c r="D43" s="29">
        <v>2.1673139789904199</v>
      </c>
      <c r="E43" s="29">
        <v>5.3130154113536587</v>
      </c>
      <c r="F43" s="30">
        <v>8</v>
      </c>
      <c r="G43" s="31">
        <v>3</v>
      </c>
      <c r="H43" s="31">
        <v>0</v>
      </c>
      <c r="I43" s="31">
        <v>2</v>
      </c>
      <c r="J43" s="31">
        <v>3</v>
      </c>
      <c r="K43" s="31">
        <v>3</v>
      </c>
      <c r="L43" s="35">
        <v>0</v>
      </c>
      <c r="M43" s="35">
        <v>1</v>
      </c>
      <c r="N43" s="35">
        <v>1</v>
      </c>
      <c r="O43" s="35">
        <v>1</v>
      </c>
      <c r="P43" s="37">
        <f t="shared" si="1"/>
        <v>0.61759802160101618</v>
      </c>
      <c r="Q43" s="36">
        <f t="shared" si="2"/>
        <v>0.50069111755063966</v>
      </c>
      <c r="R43" s="36">
        <f t="shared" si="3"/>
        <v>0.80023684952974306</v>
      </c>
    </row>
    <row r="44" spans="1:18" x14ac:dyDescent="0.3">
      <c r="A44" s="19" t="s">
        <v>42</v>
      </c>
      <c r="B44" s="3">
        <v>2</v>
      </c>
      <c r="C44" s="29">
        <v>2.6117213114754114</v>
      </c>
      <c r="D44" s="29">
        <v>1.386844262295083</v>
      </c>
      <c r="E44" s="29">
        <v>3.9985655737704944</v>
      </c>
      <c r="F44" s="30">
        <v>16</v>
      </c>
      <c r="G44" s="31">
        <v>3</v>
      </c>
      <c r="H44" s="31">
        <v>5</v>
      </c>
      <c r="I44" s="31">
        <v>0</v>
      </c>
      <c r="J44" s="31">
        <v>5</v>
      </c>
      <c r="K44" s="31">
        <v>6</v>
      </c>
      <c r="L44" s="35">
        <v>1</v>
      </c>
      <c r="M44" s="35">
        <v>0</v>
      </c>
      <c r="N44" s="35">
        <v>1</v>
      </c>
      <c r="O44" s="35">
        <v>1</v>
      </c>
      <c r="P44" s="37">
        <f t="shared" si="1"/>
        <v>0.55771423179709856</v>
      </c>
      <c r="Q44" s="36">
        <f t="shared" si="2"/>
        <v>0.37782408292280312</v>
      </c>
      <c r="R44" s="36">
        <f t="shared" si="3"/>
        <v>0.69884539378146493</v>
      </c>
    </row>
    <row r="45" spans="1:18" x14ac:dyDescent="0.3">
      <c r="A45" s="19" t="s">
        <v>43</v>
      </c>
      <c r="B45" s="3">
        <v>3</v>
      </c>
      <c r="C45" s="29">
        <v>3.1246113810653391</v>
      </c>
      <c r="D45" s="29">
        <v>2.18478686410428</v>
      </c>
      <c r="E45" s="29">
        <v>5.3093982451696196</v>
      </c>
      <c r="F45" s="30">
        <v>1</v>
      </c>
      <c r="G45" s="31">
        <v>1</v>
      </c>
      <c r="H45" s="31">
        <v>0</v>
      </c>
      <c r="I45" s="31">
        <v>0</v>
      </c>
      <c r="J45" s="31">
        <v>1</v>
      </c>
      <c r="K45" s="31">
        <v>0</v>
      </c>
      <c r="L45" s="35">
        <v>0</v>
      </c>
      <c r="M45" s="35">
        <v>0</v>
      </c>
      <c r="N45" s="35">
        <v>1</v>
      </c>
      <c r="O45" s="35">
        <v>0</v>
      </c>
      <c r="P45" s="37">
        <f t="shared" si="1"/>
        <v>0.61538303579271003</v>
      </c>
      <c r="Q45" s="36">
        <f t="shared" si="2"/>
        <v>0.50308037329910382</v>
      </c>
      <c r="R45" s="36">
        <f t="shared" si="3"/>
        <v>0.7999879406602346</v>
      </c>
    </row>
    <row r="46" spans="1:18" x14ac:dyDescent="0.3">
      <c r="A46" s="19" t="s">
        <v>44</v>
      </c>
      <c r="B46" s="3">
        <v>3</v>
      </c>
      <c r="C46" s="29">
        <v>2.5411576846307415</v>
      </c>
      <c r="D46" s="29">
        <v>2.1331736526946132</v>
      </c>
      <c r="E46" s="29">
        <v>4.6743313373253557</v>
      </c>
      <c r="F46" s="30">
        <v>2</v>
      </c>
      <c r="G46" s="31">
        <v>2</v>
      </c>
      <c r="H46" s="31">
        <v>1</v>
      </c>
      <c r="I46" s="31">
        <v>0</v>
      </c>
      <c r="J46" s="31">
        <v>1</v>
      </c>
      <c r="K46" s="31">
        <v>0</v>
      </c>
      <c r="L46" s="35">
        <v>1</v>
      </c>
      <c r="M46" s="35">
        <v>0</v>
      </c>
      <c r="N46" s="35">
        <v>1</v>
      </c>
      <c r="O46" s="35">
        <v>0</v>
      </c>
      <c r="P46" s="37">
        <f t="shared" si="1"/>
        <v>0.54914526593921176</v>
      </c>
      <c r="Q46" s="36">
        <f t="shared" si="2"/>
        <v>0.49598446584150852</v>
      </c>
      <c r="R46" s="36">
        <f t="shared" si="3"/>
        <v>0.75391469165911107</v>
      </c>
    </row>
    <row r="47" spans="1:18" x14ac:dyDescent="0.3">
      <c r="A47" s="19" t="s">
        <v>45</v>
      </c>
      <c r="B47" s="3">
        <v>3</v>
      </c>
      <c r="C47" s="29">
        <v>2.727567567567561</v>
      </c>
      <c r="D47" s="29">
        <v>1.7399999999999958</v>
      </c>
      <c r="E47" s="29">
        <v>4.4675675675675572</v>
      </c>
      <c r="F47" s="30">
        <v>4</v>
      </c>
      <c r="G47" s="31">
        <v>3</v>
      </c>
      <c r="H47" s="31">
        <v>1</v>
      </c>
      <c r="I47" s="31">
        <v>1</v>
      </c>
      <c r="J47" s="31">
        <v>0</v>
      </c>
      <c r="K47" s="31">
        <v>2</v>
      </c>
      <c r="L47" s="35">
        <v>1</v>
      </c>
      <c r="M47" s="35">
        <v>1</v>
      </c>
      <c r="N47" s="35">
        <v>0</v>
      </c>
      <c r="O47" s="35">
        <v>1</v>
      </c>
      <c r="P47" s="37">
        <f t="shared" si="1"/>
        <v>0.57142552441364181</v>
      </c>
      <c r="Q47" s="36">
        <f t="shared" si="2"/>
        <v>0.43775056282038727</v>
      </c>
      <c r="R47" s="36">
        <f t="shared" si="3"/>
        <v>0.73779415870380882</v>
      </c>
    </row>
    <row r="48" spans="1:18" x14ac:dyDescent="0.3">
      <c r="A48" s="19" t="s">
        <v>46</v>
      </c>
      <c r="B48" s="3">
        <v>3</v>
      </c>
      <c r="C48" s="29">
        <v>2.2597067333514262</v>
      </c>
      <c r="D48" s="29">
        <v>2.3940676742534035</v>
      </c>
      <c r="E48" s="29">
        <v>4.6537744076048293</v>
      </c>
      <c r="F48" s="30">
        <v>8</v>
      </c>
      <c r="G48" s="31">
        <v>1</v>
      </c>
      <c r="H48" s="31">
        <v>8</v>
      </c>
      <c r="I48" s="31">
        <v>0</v>
      </c>
      <c r="J48" s="31">
        <v>0</v>
      </c>
      <c r="K48" s="31">
        <v>0</v>
      </c>
      <c r="L48" s="35">
        <v>1</v>
      </c>
      <c r="M48" s="35">
        <v>0</v>
      </c>
      <c r="N48" s="35">
        <v>0</v>
      </c>
      <c r="O48" s="35">
        <v>0</v>
      </c>
      <c r="P48" s="37">
        <f t="shared" si="1"/>
        <v>0.51317852957213395</v>
      </c>
      <c r="Q48" s="36">
        <f t="shared" si="2"/>
        <v>0.5307204974577352</v>
      </c>
      <c r="R48" s="36">
        <f t="shared" si="3"/>
        <v>0.75233847562732692</v>
      </c>
    </row>
    <row r="49" spans="1:18" x14ac:dyDescent="0.3">
      <c r="A49" s="19" t="s">
        <v>47</v>
      </c>
      <c r="B49" s="3">
        <v>3</v>
      </c>
      <c r="C49" s="29">
        <v>2.4848022598870085</v>
      </c>
      <c r="D49" s="29">
        <v>1.954067796610172</v>
      </c>
      <c r="E49" s="29">
        <v>4.4388700564971799</v>
      </c>
      <c r="F49" s="30">
        <v>8</v>
      </c>
      <c r="G49" s="31">
        <v>3</v>
      </c>
      <c r="H49" s="31">
        <v>3</v>
      </c>
      <c r="I49" s="31">
        <v>0</v>
      </c>
      <c r="J49" s="31">
        <v>2</v>
      </c>
      <c r="K49" s="31">
        <v>3</v>
      </c>
      <c r="L49" s="35">
        <v>1</v>
      </c>
      <c r="M49" s="35">
        <v>0</v>
      </c>
      <c r="N49" s="35">
        <v>1</v>
      </c>
      <c r="O49" s="35">
        <v>1</v>
      </c>
      <c r="P49" s="37">
        <f t="shared" si="1"/>
        <v>0.54217813971483941</v>
      </c>
      <c r="Q49" s="36">
        <f t="shared" si="2"/>
        <v>0.47042045825955175</v>
      </c>
      <c r="R49" s="36">
        <f t="shared" si="3"/>
        <v>0.73550868293350613</v>
      </c>
    </row>
    <row r="50" spans="1:18" x14ac:dyDescent="0.3">
      <c r="A50" s="19" t="s">
        <v>48</v>
      </c>
      <c r="B50" s="3">
        <v>3</v>
      </c>
      <c r="C50" s="29">
        <v>2.2400628106667635</v>
      </c>
      <c r="D50" s="29">
        <v>1.7634537020142607</v>
      </c>
      <c r="E50" s="29">
        <v>4.0035165126810242</v>
      </c>
      <c r="F50" s="30">
        <v>1</v>
      </c>
      <c r="G50" s="31">
        <v>1</v>
      </c>
      <c r="H50" s="31">
        <v>1</v>
      </c>
      <c r="I50" s="31">
        <v>0</v>
      </c>
      <c r="J50" s="31">
        <v>0</v>
      </c>
      <c r="K50" s="31">
        <v>0</v>
      </c>
      <c r="L50" s="35">
        <v>1</v>
      </c>
      <c r="M50" s="35">
        <v>0</v>
      </c>
      <c r="N50" s="35">
        <v>0</v>
      </c>
      <c r="O50" s="35">
        <v>0</v>
      </c>
      <c r="P50" s="37">
        <f t="shared" si="1"/>
        <v>0.51055342936141912</v>
      </c>
      <c r="Q50" s="36">
        <f t="shared" si="2"/>
        <v>0.44145219295319776</v>
      </c>
      <c r="R50" s="36">
        <f t="shared" si="3"/>
        <v>0.69927533738842729</v>
      </c>
    </row>
    <row r="51" spans="1:18" x14ac:dyDescent="0.3">
      <c r="A51" s="19" t="s">
        <v>49</v>
      </c>
      <c r="B51" s="3">
        <v>3</v>
      </c>
      <c r="C51" s="29">
        <v>2.9678609625668537</v>
      </c>
      <c r="D51" s="29">
        <v>1.682566844919791</v>
      </c>
      <c r="E51" s="29">
        <v>4.6504278074866452</v>
      </c>
      <c r="F51" s="30">
        <v>8</v>
      </c>
      <c r="G51" s="31">
        <v>4</v>
      </c>
      <c r="H51" s="31">
        <v>2</v>
      </c>
      <c r="I51" s="31">
        <v>2</v>
      </c>
      <c r="J51" s="31">
        <v>2</v>
      </c>
      <c r="K51" s="31">
        <v>2</v>
      </c>
      <c r="L51" s="35">
        <v>1</v>
      </c>
      <c r="M51" s="35">
        <v>1</v>
      </c>
      <c r="N51" s="35">
        <v>1</v>
      </c>
      <c r="O51" s="35">
        <v>1</v>
      </c>
      <c r="P51" s="37">
        <f t="shared" si="1"/>
        <v>0.59855644567772526</v>
      </c>
      <c r="Q51" s="36">
        <f t="shared" si="2"/>
        <v>0.42855055263914887</v>
      </c>
      <c r="R51" s="36">
        <f t="shared" si="3"/>
        <v>0.75208133054459214</v>
      </c>
    </row>
    <row r="52" spans="1:18" x14ac:dyDescent="0.3">
      <c r="A52" s="19" t="s">
        <v>50</v>
      </c>
      <c r="B52" s="3">
        <v>3</v>
      </c>
      <c r="C52" s="29">
        <v>4.7687217232763848</v>
      </c>
      <c r="D52" s="29">
        <v>0.98746257906228163</v>
      </c>
      <c r="E52" s="29">
        <v>5.7561843023386672</v>
      </c>
      <c r="F52" s="30">
        <v>2</v>
      </c>
      <c r="G52" s="31">
        <v>1</v>
      </c>
      <c r="H52" s="31">
        <v>2</v>
      </c>
      <c r="I52" s="31">
        <v>0</v>
      </c>
      <c r="J52" s="31">
        <v>0</v>
      </c>
      <c r="K52" s="31">
        <v>0</v>
      </c>
      <c r="L52" s="35">
        <v>1</v>
      </c>
      <c r="M52" s="35">
        <v>0</v>
      </c>
      <c r="N52" s="35">
        <v>0</v>
      </c>
      <c r="O52" s="35">
        <v>0</v>
      </c>
      <c r="P52" s="37">
        <f t="shared" si="1"/>
        <v>0.76107958958036559</v>
      </c>
      <c r="Q52" s="36">
        <f t="shared" si="2"/>
        <v>0.29829896029215297</v>
      </c>
      <c r="R52" s="36">
        <f t="shared" si="3"/>
        <v>0.82970148820461742</v>
      </c>
    </row>
    <row r="53" spans="1:18" x14ac:dyDescent="0.3">
      <c r="A53" s="19" t="s">
        <v>51</v>
      </c>
      <c r="B53" s="3">
        <v>3</v>
      </c>
      <c r="C53" s="29">
        <v>1.6732818725099579</v>
      </c>
      <c r="D53" s="29">
        <v>1.4149900398406354</v>
      </c>
      <c r="E53" s="29">
        <v>3.0882719123505935</v>
      </c>
      <c r="F53" s="30">
        <v>16</v>
      </c>
      <c r="G53" s="31">
        <v>1</v>
      </c>
      <c r="H53" s="31">
        <v>16</v>
      </c>
      <c r="I53" s="31">
        <v>0</v>
      </c>
      <c r="J53" s="31">
        <v>0</v>
      </c>
      <c r="K53" s="31">
        <v>0</v>
      </c>
      <c r="L53" s="35">
        <v>1</v>
      </c>
      <c r="M53" s="35">
        <v>0</v>
      </c>
      <c r="N53" s="35">
        <v>0</v>
      </c>
      <c r="O53" s="35">
        <v>0</v>
      </c>
      <c r="P53" s="37">
        <f t="shared" si="1"/>
        <v>0.42704475345225568</v>
      </c>
      <c r="Q53" s="36">
        <f t="shared" si="2"/>
        <v>0.38291534392762572</v>
      </c>
      <c r="R53" s="36">
        <f t="shared" si="3"/>
        <v>0.6115397731604707</v>
      </c>
    </row>
    <row r="54" spans="1:18" x14ac:dyDescent="0.3">
      <c r="A54" s="19" t="s">
        <v>52</v>
      </c>
      <c r="B54" s="3">
        <v>3</v>
      </c>
      <c r="C54" s="29">
        <v>8.4814803286852634</v>
      </c>
      <c r="D54" s="29">
        <v>1.061784113545817</v>
      </c>
      <c r="E54" s="29">
        <v>9.5432644422310791</v>
      </c>
      <c r="F54" s="30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5">
        <v>0</v>
      </c>
      <c r="M54" s="35">
        <v>0</v>
      </c>
      <c r="N54" s="35">
        <v>0</v>
      </c>
      <c r="O54" s="35">
        <v>0</v>
      </c>
      <c r="P54" s="37">
        <f t="shared" si="1"/>
        <v>0.97687614834960912</v>
      </c>
      <c r="Q54" s="36">
        <f t="shared" si="2"/>
        <v>0.3142431889764763</v>
      </c>
      <c r="R54" s="36">
        <f t="shared" si="3"/>
        <v>1.0229750994670082</v>
      </c>
    </row>
    <row r="55" spans="1:18" x14ac:dyDescent="0.3">
      <c r="A55" s="19" t="s">
        <v>53</v>
      </c>
      <c r="B55" s="3">
        <v>3</v>
      </c>
      <c r="C55" s="29">
        <v>2.0070579749965654</v>
      </c>
      <c r="D55" s="29">
        <v>1.0339389568164126</v>
      </c>
      <c r="E55" s="29">
        <v>3.0409969318129781</v>
      </c>
      <c r="F55" s="30">
        <v>4</v>
      </c>
      <c r="G55" s="31">
        <v>2</v>
      </c>
      <c r="H55" s="31">
        <v>2</v>
      </c>
      <c r="I55" s="31">
        <v>2</v>
      </c>
      <c r="J55" s="31">
        <v>0</v>
      </c>
      <c r="K55" s="31">
        <v>0</v>
      </c>
      <c r="L55" s="35">
        <v>1</v>
      </c>
      <c r="M55" s="35">
        <v>1</v>
      </c>
      <c r="N55" s="35">
        <v>0</v>
      </c>
      <c r="O55" s="35">
        <v>0</v>
      </c>
      <c r="P55" s="37">
        <f t="shared" si="1"/>
        <v>0.47814180122269301</v>
      </c>
      <c r="Q55" s="36">
        <f t="shared" si="2"/>
        <v>0.30833791460658344</v>
      </c>
      <c r="R55" s="36">
        <f t="shared" si="3"/>
        <v>0.60648852069822867</v>
      </c>
    </row>
    <row r="56" spans="1:18" x14ac:dyDescent="0.3">
      <c r="A56" s="19" t="s">
        <v>54</v>
      </c>
      <c r="B56" s="3">
        <v>3</v>
      </c>
      <c r="C56" s="29">
        <v>6.1426608187134626</v>
      </c>
      <c r="D56" s="29">
        <v>0.98479532163742889</v>
      </c>
      <c r="E56" s="29">
        <v>7.1274561403508914</v>
      </c>
      <c r="F56" s="30">
        <v>1</v>
      </c>
      <c r="G56" s="31">
        <v>1</v>
      </c>
      <c r="H56" s="31">
        <v>0</v>
      </c>
      <c r="I56" s="31">
        <v>0</v>
      </c>
      <c r="J56" s="31">
        <v>0</v>
      </c>
      <c r="K56" s="31">
        <v>1</v>
      </c>
      <c r="L56" s="35">
        <v>0</v>
      </c>
      <c r="M56" s="35">
        <v>0</v>
      </c>
      <c r="N56" s="35">
        <v>0</v>
      </c>
      <c r="O56" s="35">
        <v>1</v>
      </c>
      <c r="P56" s="37">
        <f t="shared" si="1"/>
        <v>0.85386002740879885</v>
      </c>
      <c r="Q56" s="36">
        <f t="shared" si="2"/>
        <v>0.29771572758950354</v>
      </c>
      <c r="R56" s="36">
        <f t="shared" si="3"/>
        <v>0.90995463451329106</v>
      </c>
    </row>
    <row r="57" spans="1:18" x14ac:dyDescent="0.3">
      <c r="A57" s="19" t="s">
        <v>55</v>
      </c>
      <c r="B57" s="3">
        <v>3</v>
      </c>
      <c r="C57" s="29">
        <v>3.3505320500155293</v>
      </c>
      <c r="D57" s="29">
        <v>1.8078410341810407</v>
      </c>
      <c r="E57" s="29">
        <v>5.1583730841965698</v>
      </c>
      <c r="F57" s="30">
        <v>4</v>
      </c>
      <c r="G57" s="31">
        <v>1</v>
      </c>
      <c r="H57" s="31">
        <v>4</v>
      </c>
      <c r="I57" s="31">
        <v>0</v>
      </c>
      <c r="J57" s="31">
        <v>0</v>
      </c>
      <c r="K57" s="31">
        <v>0</v>
      </c>
      <c r="L57" s="35">
        <v>1</v>
      </c>
      <c r="M57" s="35">
        <v>0</v>
      </c>
      <c r="N57" s="35">
        <v>0</v>
      </c>
      <c r="O57" s="35">
        <v>0</v>
      </c>
      <c r="P57" s="37">
        <f t="shared" si="1"/>
        <v>0.63854237241580691</v>
      </c>
      <c r="Q57" s="36">
        <f t="shared" si="2"/>
        <v>0.44837251658731198</v>
      </c>
      <c r="R57" s="36">
        <f t="shared" si="3"/>
        <v>0.78946599562592967</v>
      </c>
    </row>
    <row r="58" spans="1:18" x14ac:dyDescent="0.3">
      <c r="A58" s="19" t="s">
        <v>56</v>
      </c>
      <c r="B58" s="3">
        <v>3</v>
      </c>
      <c r="C58" s="29">
        <v>3.8727917299729007</v>
      </c>
      <c r="D58" s="29">
        <v>1.9052640986683402</v>
      </c>
      <c r="E58" s="29">
        <v>5.7780558286412402</v>
      </c>
      <c r="F58" s="30">
        <v>60</v>
      </c>
      <c r="G58" s="31">
        <v>4</v>
      </c>
      <c r="H58" s="31">
        <v>16</v>
      </c>
      <c r="I58" s="31">
        <v>12</v>
      </c>
      <c r="J58" s="31">
        <v>20</v>
      </c>
      <c r="K58" s="31">
        <v>12</v>
      </c>
      <c r="L58" s="35">
        <v>1</v>
      </c>
      <c r="M58" s="35">
        <v>1</v>
      </c>
      <c r="N58" s="35">
        <v>1</v>
      </c>
      <c r="O58" s="35">
        <v>1</v>
      </c>
      <c r="P58" s="37">
        <f t="shared" si="1"/>
        <v>0.68777784941608233</v>
      </c>
      <c r="Q58" s="36">
        <f t="shared" si="2"/>
        <v>0.4631856174082839</v>
      </c>
      <c r="R58" s="36">
        <f t="shared" si="3"/>
        <v>0.83110514165848082</v>
      </c>
    </row>
    <row r="59" spans="1:18" x14ac:dyDescent="0.3">
      <c r="A59" s="19" t="s">
        <v>57</v>
      </c>
      <c r="B59" s="3">
        <v>3</v>
      </c>
      <c r="C59" s="29">
        <v>3.2074232498610655</v>
      </c>
      <c r="D59" s="29">
        <v>1.5977052143502688</v>
      </c>
      <c r="E59" s="29">
        <v>4.805128464211335</v>
      </c>
      <c r="F59" s="30">
        <v>16</v>
      </c>
      <c r="G59" s="31">
        <v>2</v>
      </c>
      <c r="H59" s="31">
        <v>0</v>
      </c>
      <c r="I59" s="31">
        <v>8</v>
      </c>
      <c r="J59" s="31">
        <v>0</v>
      </c>
      <c r="K59" s="31">
        <v>8</v>
      </c>
      <c r="L59" s="35">
        <v>0</v>
      </c>
      <c r="M59" s="35">
        <v>1</v>
      </c>
      <c r="N59" s="35">
        <v>0</v>
      </c>
      <c r="O59" s="35">
        <v>1</v>
      </c>
      <c r="P59" s="37">
        <f t="shared" si="1"/>
        <v>0.62401620249317613</v>
      </c>
      <c r="Q59" s="36">
        <f t="shared" si="2"/>
        <v>0.41458986611931492</v>
      </c>
      <c r="R59" s="36">
        <f t="shared" si="3"/>
        <v>0.76381183487231619</v>
      </c>
    </row>
    <row r="60" spans="1:18" x14ac:dyDescent="0.3">
      <c r="A60" s="19" t="s">
        <v>58</v>
      </c>
      <c r="B60" s="3">
        <v>3</v>
      </c>
      <c r="C60" s="29">
        <v>6.7239884393063489</v>
      </c>
      <c r="D60" s="29">
        <v>0.63572254335260014</v>
      </c>
      <c r="E60" s="29">
        <v>7.3597109826589495</v>
      </c>
      <c r="F60" s="30">
        <v>1</v>
      </c>
      <c r="G60" s="31">
        <v>1</v>
      </c>
      <c r="H60" s="31">
        <v>0</v>
      </c>
      <c r="I60" s="31">
        <v>1</v>
      </c>
      <c r="J60" s="31">
        <v>0</v>
      </c>
      <c r="K60" s="31">
        <v>0</v>
      </c>
      <c r="L60" s="35">
        <v>0</v>
      </c>
      <c r="M60" s="35">
        <v>1</v>
      </c>
      <c r="N60" s="35">
        <v>0</v>
      </c>
      <c r="O60" s="35">
        <v>0</v>
      </c>
      <c r="P60" s="37">
        <f t="shared" si="1"/>
        <v>0.88784161508803849</v>
      </c>
      <c r="Q60" s="36">
        <f t="shared" si="2"/>
        <v>0.21370963912138</v>
      </c>
      <c r="R60" s="36">
        <f t="shared" si="3"/>
        <v>0.92219126298852316</v>
      </c>
    </row>
    <row r="61" spans="1:18" x14ac:dyDescent="0.3">
      <c r="A61" s="19" t="s">
        <v>59</v>
      </c>
      <c r="B61" s="3">
        <v>3</v>
      </c>
      <c r="C61" s="29">
        <v>5.2820775081319784</v>
      </c>
      <c r="D61" s="29">
        <v>0.77056189530395924</v>
      </c>
      <c r="E61" s="29">
        <v>6.0526394034359372</v>
      </c>
      <c r="F61" s="30">
        <v>2</v>
      </c>
      <c r="G61" s="31">
        <v>2</v>
      </c>
      <c r="H61" s="31">
        <v>1</v>
      </c>
      <c r="I61" s="31">
        <v>1</v>
      </c>
      <c r="J61" s="31">
        <v>0</v>
      </c>
      <c r="K61" s="31">
        <v>0</v>
      </c>
      <c r="L61" s="35">
        <v>1</v>
      </c>
      <c r="M61" s="35">
        <v>1</v>
      </c>
      <c r="N61" s="35">
        <v>0</v>
      </c>
      <c r="O61" s="35">
        <v>0</v>
      </c>
      <c r="P61" s="37">
        <f t="shared" si="1"/>
        <v>0.79810329041115891</v>
      </c>
      <c r="Q61" s="36">
        <f t="shared" si="2"/>
        <v>0.24811111342630182</v>
      </c>
      <c r="R61" s="36">
        <f t="shared" si="3"/>
        <v>0.84835167923642762</v>
      </c>
    </row>
    <row r="62" spans="1:18" x14ac:dyDescent="0.3">
      <c r="A62" s="19" t="s">
        <v>60</v>
      </c>
      <c r="B62" s="3">
        <v>3</v>
      </c>
      <c r="C62" s="29">
        <v>4.3614078716979243</v>
      </c>
      <c r="D62" s="29">
        <v>1.7471515213033231</v>
      </c>
      <c r="E62" s="29">
        <v>6.1085593930012481</v>
      </c>
      <c r="F62" s="30">
        <v>8</v>
      </c>
      <c r="G62" s="31">
        <v>2</v>
      </c>
      <c r="H62" s="31">
        <v>0</v>
      </c>
      <c r="I62" s="31">
        <v>0</v>
      </c>
      <c r="J62" s="31">
        <v>4</v>
      </c>
      <c r="K62" s="31">
        <v>4</v>
      </c>
      <c r="L62" s="35">
        <v>0</v>
      </c>
      <c r="M62" s="35">
        <v>0</v>
      </c>
      <c r="N62" s="35">
        <v>1</v>
      </c>
      <c r="O62" s="35">
        <v>1</v>
      </c>
      <c r="P62" s="37">
        <f t="shared" si="1"/>
        <v>0.7292788476449471</v>
      </c>
      <c r="Q62" s="36">
        <f t="shared" si="2"/>
        <v>0.43888261393498895</v>
      </c>
      <c r="R62" s="36">
        <f t="shared" si="3"/>
        <v>0.85178159636096951</v>
      </c>
    </row>
    <row r="63" spans="1:18" x14ac:dyDescent="0.3">
      <c r="A63" s="19" t="s">
        <v>61</v>
      </c>
      <c r="B63" s="3">
        <v>3</v>
      </c>
      <c r="C63" s="29">
        <v>7.437091628708381</v>
      </c>
      <c r="D63" s="29">
        <v>1.8411041165532149</v>
      </c>
      <c r="E63" s="29">
        <v>9.2781957452615966</v>
      </c>
      <c r="F63" s="30">
        <v>2</v>
      </c>
      <c r="G63" s="31">
        <v>1</v>
      </c>
      <c r="H63" s="31">
        <v>0</v>
      </c>
      <c r="I63" s="31">
        <v>0</v>
      </c>
      <c r="J63" s="31">
        <v>0</v>
      </c>
      <c r="K63" s="31">
        <v>2</v>
      </c>
      <c r="L63" s="35">
        <v>0</v>
      </c>
      <c r="M63" s="35">
        <v>0</v>
      </c>
      <c r="N63" s="35">
        <v>0</v>
      </c>
      <c r="O63" s="35">
        <v>1</v>
      </c>
      <c r="P63" s="37">
        <f t="shared" si="1"/>
        <v>0.92619276566834707</v>
      </c>
      <c r="Q63" s="36">
        <f t="shared" si="2"/>
        <v>0.45348714939206597</v>
      </c>
      <c r="R63" s="36">
        <f t="shared" si="3"/>
        <v>1.0119168844405591</v>
      </c>
    </row>
    <row r="64" spans="1:18" x14ac:dyDescent="0.3">
      <c r="A64" s="19" t="s">
        <v>62</v>
      </c>
      <c r="B64" s="3">
        <v>3</v>
      </c>
      <c r="C64" s="29">
        <v>3.0296629213483137</v>
      </c>
      <c r="D64" s="29">
        <v>1.947640449438202</v>
      </c>
      <c r="E64" s="29">
        <v>4.9773033707865162</v>
      </c>
      <c r="F64" s="30">
        <v>16</v>
      </c>
      <c r="G64" s="31">
        <v>4</v>
      </c>
      <c r="H64" s="31">
        <v>4</v>
      </c>
      <c r="I64" s="31">
        <v>4</v>
      </c>
      <c r="J64" s="31">
        <v>4</v>
      </c>
      <c r="K64" s="31">
        <v>4</v>
      </c>
      <c r="L64" s="35">
        <v>1</v>
      </c>
      <c r="M64" s="35">
        <v>1</v>
      </c>
      <c r="N64" s="35">
        <v>1</v>
      </c>
      <c r="O64" s="35">
        <v>1</v>
      </c>
      <c r="P64" s="37">
        <f t="shared" si="1"/>
        <v>0.60526871921282255</v>
      </c>
      <c r="Q64" s="36">
        <f t="shared" si="2"/>
        <v>0.46947450756281567</v>
      </c>
      <c r="R64" s="36">
        <f t="shared" si="3"/>
        <v>0.77650529848300986</v>
      </c>
    </row>
    <row r="65" spans="1:18" x14ac:dyDescent="0.3">
      <c r="A65" s="19" t="s">
        <v>63</v>
      </c>
      <c r="B65" s="3">
        <v>3</v>
      </c>
      <c r="C65" s="29">
        <v>4.0301039322123833</v>
      </c>
      <c r="D65" s="29">
        <v>2.3182013769363268</v>
      </c>
      <c r="E65" s="29">
        <v>6.3483053091487092</v>
      </c>
      <c r="F65" s="30">
        <v>4</v>
      </c>
      <c r="G65" s="31">
        <v>4</v>
      </c>
      <c r="H65" s="31">
        <v>1</v>
      </c>
      <c r="I65" s="31">
        <v>1</v>
      </c>
      <c r="J65" s="31">
        <v>1</v>
      </c>
      <c r="K65" s="31">
        <v>1</v>
      </c>
      <c r="L65" s="35">
        <v>1</v>
      </c>
      <c r="M65" s="35">
        <v>1</v>
      </c>
      <c r="N65" s="35">
        <v>1</v>
      </c>
      <c r="O65" s="35">
        <v>1</v>
      </c>
      <c r="P65" s="37">
        <f t="shared" si="1"/>
        <v>0.70157695855891222</v>
      </c>
      <c r="Q65" s="36">
        <f t="shared" si="2"/>
        <v>0.52090273920442332</v>
      </c>
      <c r="R65" s="36">
        <f t="shared" si="3"/>
        <v>0.86618719217976903</v>
      </c>
    </row>
    <row r="66" spans="1:18" x14ac:dyDescent="0.3">
      <c r="A66" s="19" t="s">
        <v>64</v>
      </c>
      <c r="B66" s="3">
        <v>3</v>
      </c>
      <c r="C66" s="29">
        <v>3.7985175998109932</v>
      </c>
      <c r="D66" s="29">
        <v>1.4105244507441472</v>
      </c>
      <c r="E66" s="29">
        <v>5.2090420505551398</v>
      </c>
      <c r="F66" s="30">
        <v>16</v>
      </c>
      <c r="G66" s="31">
        <v>3</v>
      </c>
      <c r="H66" s="31">
        <v>6</v>
      </c>
      <c r="I66" s="31">
        <v>5</v>
      </c>
      <c r="J66" s="31">
        <v>0</v>
      </c>
      <c r="K66" s="31">
        <v>5</v>
      </c>
      <c r="L66" s="35">
        <v>1</v>
      </c>
      <c r="M66" s="35">
        <v>1</v>
      </c>
      <c r="N66" s="35">
        <v>0</v>
      </c>
      <c r="O66" s="35">
        <v>1</v>
      </c>
      <c r="P66" s="37">
        <f t="shared" si="1"/>
        <v>0.68110709203064579</v>
      </c>
      <c r="Q66" s="36">
        <f t="shared" si="2"/>
        <v>0.38211154103346529</v>
      </c>
      <c r="R66" s="36">
        <f t="shared" si="3"/>
        <v>0.79302460110258133</v>
      </c>
    </row>
    <row r="67" spans="1:18" x14ac:dyDescent="0.3">
      <c r="A67" s="19" t="s">
        <v>65</v>
      </c>
      <c r="B67" s="3">
        <v>4</v>
      </c>
      <c r="C67" s="29">
        <v>4.6142857142857157</v>
      </c>
      <c r="D67" s="29">
        <v>3.5700000000000003</v>
      </c>
      <c r="E67" s="29">
        <v>8.1842857142857159</v>
      </c>
      <c r="F67" s="30">
        <v>60</v>
      </c>
      <c r="G67" s="31">
        <v>4</v>
      </c>
      <c r="H67" s="31">
        <v>16</v>
      </c>
      <c r="I67" s="31">
        <v>12</v>
      </c>
      <c r="J67" s="31">
        <v>20</v>
      </c>
      <c r="K67" s="31">
        <v>12</v>
      </c>
      <c r="L67" s="35">
        <v>1</v>
      </c>
      <c r="M67" s="35">
        <v>1</v>
      </c>
      <c r="N67" s="35">
        <v>1</v>
      </c>
      <c r="O67" s="35">
        <v>1</v>
      </c>
      <c r="P67" s="37">
        <f t="shared" ref="P67:P86" si="4">LOG10(C67+1)</f>
        <v>0.74929451036117001</v>
      </c>
      <c r="Q67" s="36">
        <f t="shared" ref="Q67:Q86" si="5">LOG10(D67+1)</f>
        <v>0.6599162000698503</v>
      </c>
      <c r="R67" s="36">
        <f t="shared" ref="R67:R86" si="6">LOG10(E67+1)</f>
        <v>0.96304538574723431</v>
      </c>
    </row>
    <row r="68" spans="1:18" x14ac:dyDescent="0.3">
      <c r="A68" s="19" t="s">
        <v>66</v>
      </c>
      <c r="B68" s="3">
        <v>4</v>
      </c>
      <c r="C68" s="29">
        <v>2.6620348837209318</v>
      </c>
      <c r="D68" s="29">
        <v>2.502558139534885</v>
      </c>
      <c r="E68" s="29">
        <v>5.1645930232558159</v>
      </c>
      <c r="F68" s="30">
        <v>16</v>
      </c>
      <c r="G68" s="31">
        <v>3</v>
      </c>
      <c r="H68" s="31">
        <v>5</v>
      </c>
      <c r="I68" s="31">
        <v>5</v>
      </c>
      <c r="J68" s="31">
        <v>6</v>
      </c>
      <c r="K68" s="31">
        <v>0</v>
      </c>
      <c r="L68" s="35">
        <v>1</v>
      </c>
      <c r="M68" s="35">
        <v>1</v>
      </c>
      <c r="N68" s="35">
        <v>1</v>
      </c>
      <c r="O68" s="35">
        <v>0</v>
      </c>
      <c r="P68" s="37">
        <f t="shared" si="4"/>
        <v>0.56372247697696987</v>
      </c>
      <c r="Q68" s="36">
        <f t="shared" si="5"/>
        <v>0.54438535294271384</v>
      </c>
      <c r="R68" s="36">
        <f t="shared" si="6"/>
        <v>0.78990441043889759</v>
      </c>
    </row>
    <row r="69" spans="1:18" x14ac:dyDescent="0.3">
      <c r="A69" s="19" t="s">
        <v>67</v>
      </c>
      <c r="B69" s="3">
        <v>4</v>
      </c>
      <c r="C69" s="29">
        <v>4.168577154308629</v>
      </c>
      <c r="D69" s="29">
        <v>2.9542017368069557</v>
      </c>
      <c r="E69" s="29">
        <v>7.1227788911155834</v>
      </c>
      <c r="F69" s="30">
        <v>4</v>
      </c>
      <c r="G69" s="31">
        <v>4</v>
      </c>
      <c r="H69" s="31">
        <v>1</v>
      </c>
      <c r="I69" s="31">
        <v>1</v>
      </c>
      <c r="J69" s="31">
        <v>1</v>
      </c>
      <c r="K69" s="31">
        <v>1</v>
      </c>
      <c r="L69" s="35">
        <v>1</v>
      </c>
      <c r="M69" s="35">
        <v>1</v>
      </c>
      <c r="N69" s="35">
        <v>1</v>
      </c>
      <c r="O69" s="35">
        <v>1</v>
      </c>
      <c r="P69" s="37">
        <f t="shared" si="4"/>
        <v>0.71337100362017536</v>
      </c>
      <c r="Q69" s="36">
        <f t="shared" si="5"/>
        <v>0.59705882252623221</v>
      </c>
      <c r="R69" s="36">
        <f t="shared" si="6"/>
        <v>0.90970463153357528</v>
      </c>
    </row>
    <row r="70" spans="1:18" x14ac:dyDescent="0.3">
      <c r="A70" s="19" t="s">
        <v>68</v>
      </c>
      <c r="B70" s="3">
        <v>4</v>
      </c>
      <c r="C70" s="29">
        <v>9.5321428571428601</v>
      </c>
      <c r="D70" s="29">
        <v>0.95928571428571452</v>
      </c>
      <c r="E70" s="29">
        <v>10.491428571428573</v>
      </c>
      <c r="F70" s="30">
        <v>0</v>
      </c>
      <c r="G70" s="31">
        <v>0</v>
      </c>
      <c r="H70" s="31">
        <v>0</v>
      </c>
      <c r="I70" s="31">
        <v>0</v>
      </c>
      <c r="J70" s="31">
        <v>0</v>
      </c>
      <c r="K70" s="31">
        <v>0</v>
      </c>
      <c r="L70" s="35">
        <v>0</v>
      </c>
      <c r="M70" s="35">
        <v>0</v>
      </c>
      <c r="N70" s="35">
        <v>0</v>
      </c>
      <c r="O70" s="35">
        <v>0</v>
      </c>
      <c r="P70" s="37">
        <f t="shared" si="4"/>
        <v>1.022516741209579</v>
      </c>
      <c r="Q70" s="36">
        <f t="shared" si="5"/>
        <v>0.29209777192629144</v>
      </c>
      <c r="R70" s="36">
        <f t="shared" si="6"/>
        <v>1.0603740219104476</v>
      </c>
    </row>
    <row r="71" spans="1:18" x14ac:dyDescent="0.3">
      <c r="A71" s="19" t="s">
        <v>69</v>
      </c>
      <c r="B71" s="3">
        <v>4</v>
      </c>
      <c r="C71" s="29">
        <v>2.8636810885271693</v>
      </c>
      <c r="D71" s="29">
        <v>2.4906806106097648</v>
      </c>
      <c r="E71" s="29">
        <v>5.3543616991369332</v>
      </c>
      <c r="F71" s="30">
        <v>8</v>
      </c>
      <c r="G71" s="31">
        <v>1</v>
      </c>
      <c r="H71" s="31">
        <v>0</v>
      </c>
      <c r="I71" s="31">
        <v>8</v>
      </c>
      <c r="J71" s="31">
        <v>0</v>
      </c>
      <c r="K71" s="31">
        <v>0</v>
      </c>
      <c r="L71" s="35">
        <v>0</v>
      </c>
      <c r="M71" s="35">
        <v>1</v>
      </c>
      <c r="N71" s="35">
        <v>0</v>
      </c>
      <c r="O71" s="35">
        <v>0</v>
      </c>
      <c r="P71" s="37">
        <f t="shared" si="4"/>
        <v>0.58700127219254394</v>
      </c>
      <c r="Q71" s="36">
        <f t="shared" si="5"/>
        <v>0.54291011366798969</v>
      </c>
      <c r="R71" s="36">
        <f t="shared" si="6"/>
        <v>0.80307193184279313</v>
      </c>
    </row>
    <row r="72" spans="1:18" x14ac:dyDescent="0.3">
      <c r="A72" s="19" t="s">
        <v>70</v>
      </c>
      <c r="B72" s="3">
        <v>4</v>
      </c>
      <c r="C72" s="29">
        <v>3.1506444524437622</v>
      </c>
      <c r="D72" s="29">
        <v>1.9442638628463362</v>
      </c>
      <c r="E72" s="29">
        <v>5.0949083152900991</v>
      </c>
      <c r="F72" s="30">
        <v>4</v>
      </c>
      <c r="G72" s="31">
        <v>2</v>
      </c>
      <c r="H72" s="31">
        <v>0</v>
      </c>
      <c r="I72" s="31">
        <v>0</v>
      </c>
      <c r="J72" s="31">
        <v>2</v>
      </c>
      <c r="K72" s="31">
        <v>2</v>
      </c>
      <c r="L72" s="35">
        <v>0</v>
      </c>
      <c r="M72" s="35">
        <v>0</v>
      </c>
      <c r="N72" s="35">
        <v>1</v>
      </c>
      <c r="O72" s="35">
        <v>1</v>
      </c>
      <c r="P72" s="37">
        <f t="shared" si="4"/>
        <v>0.61811553295570987</v>
      </c>
      <c r="Q72" s="36">
        <f t="shared" si="5"/>
        <v>0.46897672857411105</v>
      </c>
      <c r="R72" s="36">
        <f t="shared" si="6"/>
        <v>0.78496717698260865</v>
      </c>
    </row>
    <row r="73" spans="1:18" x14ac:dyDescent="0.3">
      <c r="A73" s="19" t="s">
        <v>71</v>
      </c>
      <c r="B73" s="3">
        <v>4</v>
      </c>
      <c r="C73" s="29">
        <v>2.7168934445276411</v>
      </c>
      <c r="D73" s="29">
        <v>1.719552812992178</v>
      </c>
      <c r="E73" s="29">
        <v>4.4364462575198198</v>
      </c>
      <c r="F73" s="30">
        <v>8</v>
      </c>
      <c r="G73" s="31">
        <v>2</v>
      </c>
      <c r="H73" s="31">
        <v>4</v>
      </c>
      <c r="I73" s="31">
        <v>4</v>
      </c>
      <c r="J73" s="31">
        <v>0</v>
      </c>
      <c r="K73" s="31">
        <v>0</v>
      </c>
      <c r="L73" s="35">
        <v>1</v>
      </c>
      <c r="M73" s="35">
        <v>1</v>
      </c>
      <c r="N73" s="35">
        <v>0</v>
      </c>
      <c r="O73" s="35">
        <v>0</v>
      </c>
      <c r="P73" s="37">
        <f t="shared" si="4"/>
        <v>0.57018011097009236</v>
      </c>
      <c r="Q73" s="36">
        <f t="shared" si="5"/>
        <v>0.43449749711639118</v>
      </c>
      <c r="R73" s="36">
        <f t="shared" si="6"/>
        <v>0.73531509913177662</v>
      </c>
    </row>
    <row r="74" spans="1:18" x14ac:dyDescent="0.3">
      <c r="A74" s="19" t="s">
        <v>72</v>
      </c>
      <c r="B74" s="3">
        <v>4</v>
      </c>
      <c r="C74" s="29">
        <v>3.4011869189907116</v>
      </c>
      <c r="D74" s="29">
        <v>1.9418938828021295</v>
      </c>
      <c r="E74" s="29">
        <v>5.3430808017928406</v>
      </c>
      <c r="F74" s="30">
        <v>1</v>
      </c>
      <c r="G74" s="31">
        <v>1</v>
      </c>
      <c r="H74" s="31">
        <v>0</v>
      </c>
      <c r="I74" s="31">
        <v>0</v>
      </c>
      <c r="J74" s="31">
        <v>0</v>
      </c>
      <c r="K74" s="31">
        <v>1</v>
      </c>
      <c r="L74" s="35">
        <v>0</v>
      </c>
      <c r="M74" s="35">
        <v>0</v>
      </c>
      <c r="N74" s="35">
        <v>0</v>
      </c>
      <c r="O74" s="35">
        <v>1</v>
      </c>
      <c r="P74" s="37">
        <f t="shared" si="4"/>
        <v>0.64356981349872944</v>
      </c>
      <c r="Q74" s="36">
        <f t="shared" si="5"/>
        <v>0.46862700321658018</v>
      </c>
      <c r="R74" s="36">
        <f t="shared" si="6"/>
        <v>0.80230024372431985</v>
      </c>
    </row>
    <row r="75" spans="1:18" x14ac:dyDescent="0.3">
      <c r="A75" s="19" t="s">
        <v>73</v>
      </c>
      <c r="B75" s="3">
        <v>4</v>
      </c>
      <c r="C75" s="29">
        <v>1.4652559972874457</v>
      </c>
      <c r="D75" s="29">
        <v>1.6862072984657113</v>
      </c>
      <c r="E75" s="29">
        <v>3.1514632957531576</v>
      </c>
      <c r="F75" s="30">
        <v>8</v>
      </c>
      <c r="G75" s="31">
        <v>3</v>
      </c>
      <c r="H75" s="31">
        <v>2</v>
      </c>
      <c r="I75" s="31">
        <v>3</v>
      </c>
      <c r="J75" s="31">
        <v>3</v>
      </c>
      <c r="K75" s="31">
        <v>0</v>
      </c>
      <c r="L75" s="35">
        <v>1</v>
      </c>
      <c r="M75" s="35">
        <v>1</v>
      </c>
      <c r="N75" s="35">
        <v>1</v>
      </c>
      <c r="O75" s="35">
        <v>0</v>
      </c>
      <c r="P75" s="37">
        <f t="shared" si="4"/>
        <v>0.39186202399322134</v>
      </c>
      <c r="Q75" s="36">
        <f t="shared" si="5"/>
        <v>0.42913952475334394</v>
      </c>
      <c r="R75" s="36">
        <f t="shared" si="6"/>
        <v>0.61820120255739486</v>
      </c>
    </row>
    <row r="76" spans="1:18" x14ac:dyDescent="0.3">
      <c r="A76" s="19" t="s">
        <v>74</v>
      </c>
      <c r="B76" s="3">
        <v>4</v>
      </c>
      <c r="C76" s="29">
        <v>2.309642857142852</v>
      </c>
      <c r="D76" s="29">
        <v>2.4120408163265252</v>
      </c>
      <c r="E76" s="29">
        <v>4.7216836734693777</v>
      </c>
      <c r="F76" s="30">
        <v>4</v>
      </c>
      <c r="G76" s="31">
        <v>3</v>
      </c>
      <c r="H76" s="31">
        <v>1</v>
      </c>
      <c r="I76" s="31">
        <v>0</v>
      </c>
      <c r="J76" s="31">
        <v>2</v>
      </c>
      <c r="K76" s="31">
        <v>1</v>
      </c>
      <c r="L76" s="35">
        <v>1</v>
      </c>
      <c r="M76" s="35">
        <v>0</v>
      </c>
      <c r="N76" s="35">
        <v>1</v>
      </c>
      <c r="O76" s="35">
        <v>1</v>
      </c>
      <c r="P76" s="37">
        <f t="shared" si="4"/>
        <v>0.51978113167889317</v>
      </c>
      <c r="Q76" s="36">
        <f t="shared" si="5"/>
        <v>0.53301421774734825</v>
      </c>
      <c r="R76" s="36">
        <f t="shared" si="6"/>
        <v>0.75752384391590699</v>
      </c>
    </row>
    <row r="77" spans="1:18" x14ac:dyDescent="0.3">
      <c r="A77" s="19" t="s">
        <v>75</v>
      </c>
      <c r="B77" s="3">
        <v>4</v>
      </c>
      <c r="C77" s="29">
        <v>6.8853935582873316</v>
      </c>
      <c r="D77" s="29">
        <v>3.0960363395771164</v>
      </c>
      <c r="E77" s="29">
        <v>9.981429897864448</v>
      </c>
      <c r="F77" s="30">
        <v>1</v>
      </c>
      <c r="G77" s="31">
        <v>1</v>
      </c>
      <c r="H77" s="31">
        <v>1</v>
      </c>
      <c r="I77" s="31">
        <v>0</v>
      </c>
      <c r="J77" s="31">
        <v>0</v>
      </c>
      <c r="K77" s="31">
        <v>0</v>
      </c>
      <c r="L77" s="35">
        <v>1</v>
      </c>
      <c r="M77" s="35">
        <v>0</v>
      </c>
      <c r="N77" s="35">
        <v>0</v>
      </c>
      <c r="O77" s="35">
        <v>0</v>
      </c>
      <c r="P77" s="37">
        <f t="shared" si="4"/>
        <v>0.89682337374952914</v>
      </c>
      <c r="Q77" s="36">
        <f t="shared" si="5"/>
        <v>0.61236380099702425</v>
      </c>
      <c r="R77" s="36">
        <f t="shared" si="6"/>
        <v>1.0406588935130077</v>
      </c>
    </row>
    <row r="78" spans="1:18" x14ac:dyDescent="0.3">
      <c r="A78" s="19" t="s">
        <v>76</v>
      </c>
      <c r="B78" s="3">
        <v>4</v>
      </c>
      <c r="C78" s="29">
        <v>8.4719642857142663</v>
      </c>
      <c r="D78" s="29">
        <v>1.7292261904761865</v>
      </c>
      <c r="E78" s="29">
        <v>10.201190476190453</v>
      </c>
      <c r="F78" s="30">
        <v>1</v>
      </c>
      <c r="G78" s="31">
        <v>1</v>
      </c>
      <c r="H78" s="31">
        <v>0</v>
      </c>
      <c r="I78" s="31">
        <v>0</v>
      </c>
      <c r="J78" s="31">
        <v>1</v>
      </c>
      <c r="K78" s="31">
        <v>0</v>
      </c>
      <c r="L78" s="35">
        <v>0</v>
      </c>
      <c r="M78" s="35">
        <v>0</v>
      </c>
      <c r="N78" s="35">
        <v>1</v>
      </c>
      <c r="O78" s="35">
        <v>0</v>
      </c>
      <c r="P78" s="37">
        <f t="shared" si="4"/>
        <v>0.97644005186338212</v>
      </c>
      <c r="Q78" s="36">
        <f t="shared" si="5"/>
        <v>0.43603953024846293</v>
      </c>
      <c r="R78" s="36">
        <f t="shared" si="6"/>
        <v>1.049264182470607</v>
      </c>
    </row>
    <row r="79" spans="1:18" x14ac:dyDescent="0.3">
      <c r="A79" s="19" t="s">
        <v>77</v>
      </c>
      <c r="B79" s="3">
        <v>4</v>
      </c>
      <c r="C79" s="29">
        <v>3.0049726775956174</v>
      </c>
      <c r="D79" s="29">
        <v>1.8455737704917965</v>
      </c>
      <c r="E79" s="29">
        <v>4.8505464480874148</v>
      </c>
      <c r="F79" s="30">
        <v>2</v>
      </c>
      <c r="G79" s="31">
        <v>1</v>
      </c>
      <c r="H79" s="31">
        <v>0</v>
      </c>
      <c r="I79" s="31">
        <v>2</v>
      </c>
      <c r="J79" s="31">
        <v>0</v>
      </c>
      <c r="K79" s="31">
        <v>0</v>
      </c>
      <c r="L79" s="35">
        <v>0</v>
      </c>
      <c r="M79" s="35">
        <v>1</v>
      </c>
      <c r="N79" s="35">
        <v>0</v>
      </c>
      <c r="O79" s="35">
        <v>0</v>
      </c>
      <c r="P79" s="37">
        <f t="shared" si="4"/>
        <v>0.60259955762127237</v>
      </c>
      <c r="Q79" s="36">
        <f t="shared" si="5"/>
        <v>0.4541698490208585</v>
      </c>
      <c r="R79" s="36">
        <f t="shared" si="6"/>
        <v>0.76719643160452355</v>
      </c>
    </row>
    <row r="80" spans="1:18" x14ac:dyDescent="0.3">
      <c r="A80" s="19" t="s">
        <v>78</v>
      </c>
      <c r="B80" s="3">
        <v>4</v>
      </c>
      <c r="C80" s="29">
        <v>2.8400279329608886</v>
      </c>
      <c r="D80" s="29">
        <v>2.3726815642458061</v>
      </c>
      <c r="E80" s="29">
        <v>5.2127094972066947</v>
      </c>
      <c r="F80" s="30">
        <v>2</v>
      </c>
      <c r="G80" s="31">
        <v>2</v>
      </c>
      <c r="H80" s="31">
        <v>0</v>
      </c>
      <c r="I80" s="31">
        <v>1</v>
      </c>
      <c r="J80" s="31">
        <v>0</v>
      </c>
      <c r="K80" s="31">
        <v>1</v>
      </c>
      <c r="L80" s="35">
        <v>0</v>
      </c>
      <c r="M80" s="35">
        <v>1</v>
      </c>
      <c r="N80" s="35">
        <v>0</v>
      </c>
      <c r="O80" s="35">
        <v>1</v>
      </c>
      <c r="P80" s="37">
        <f t="shared" si="4"/>
        <v>0.58433438350468059</v>
      </c>
      <c r="Q80" s="36">
        <f t="shared" si="5"/>
        <v>0.52797533869310886</v>
      </c>
      <c r="R80" s="36">
        <f t="shared" si="6"/>
        <v>0.79328104672276623</v>
      </c>
    </row>
    <row r="81" spans="1:18" x14ac:dyDescent="0.3">
      <c r="A81" s="19" t="s">
        <v>79</v>
      </c>
      <c r="B81" s="3">
        <v>4</v>
      </c>
      <c r="C81" s="29">
        <v>2.46631578947368</v>
      </c>
      <c r="D81" s="29">
        <v>1.4357894736842083</v>
      </c>
      <c r="E81" s="29">
        <v>3.9021052631578885</v>
      </c>
      <c r="F81" s="30">
        <v>8</v>
      </c>
      <c r="G81" s="31">
        <v>4</v>
      </c>
      <c r="H81" s="31">
        <v>2</v>
      </c>
      <c r="I81" s="31">
        <v>2</v>
      </c>
      <c r="J81" s="31">
        <v>2</v>
      </c>
      <c r="K81" s="31">
        <v>2</v>
      </c>
      <c r="L81" s="35">
        <v>1</v>
      </c>
      <c r="M81" s="35">
        <v>1</v>
      </c>
      <c r="N81" s="35">
        <v>1</v>
      </c>
      <c r="O81" s="35">
        <v>1</v>
      </c>
      <c r="P81" s="37">
        <f t="shared" si="4"/>
        <v>0.53986812542305951</v>
      </c>
      <c r="Q81" s="36">
        <f t="shared" si="5"/>
        <v>0.38663974932688255</v>
      </c>
      <c r="R81" s="36">
        <f t="shared" si="6"/>
        <v>0.690382632643883</v>
      </c>
    </row>
    <row r="82" spans="1:18" x14ac:dyDescent="0.3">
      <c r="A82" s="19" t="s">
        <v>80</v>
      </c>
      <c r="B82" s="3">
        <v>4</v>
      </c>
      <c r="C82" s="29">
        <v>2.5640101522842547</v>
      </c>
      <c r="D82" s="29">
        <v>4.5607614213197811</v>
      </c>
      <c r="E82" s="29">
        <v>7.1247715736040353</v>
      </c>
      <c r="F82" s="30">
        <v>2</v>
      </c>
      <c r="G82" s="31">
        <v>1</v>
      </c>
      <c r="H82" s="31">
        <v>0</v>
      </c>
      <c r="I82" s="31">
        <v>0</v>
      </c>
      <c r="J82" s="31">
        <v>2</v>
      </c>
      <c r="K82" s="31">
        <v>0</v>
      </c>
      <c r="L82" s="35">
        <v>0</v>
      </c>
      <c r="M82" s="35">
        <v>0</v>
      </c>
      <c r="N82" s="35">
        <v>1</v>
      </c>
      <c r="O82" s="35">
        <v>0</v>
      </c>
      <c r="P82" s="37">
        <f t="shared" si="4"/>
        <v>0.55193893247896475</v>
      </c>
      <c r="Q82" s="36">
        <f t="shared" si="5"/>
        <v>0.74513426252394233</v>
      </c>
      <c r="R82" s="36">
        <f t="shared" si="6"/>
        <v>0.9098111597164098</v>
      </c>
    </row>
    <row r="83" spans="1:18" x14ac:dyDescent="0.3">
      <c r="A83" s="19" t="s">
        <v>179</v>
      </c>
      <c r="B83" s="3">
        <v>4</v>
      </c>
      <c r="C83" s="29">
        <v>3.1809072042998978</v>
      </c>
      <c r="D83" s="29">
        <v>2.2349124967014151</v>
      </c>
      <c r="E83" s="29">
        <v>5.4158197010013129</v>
      </c>
      <c r="F83" s="30">
        <v>16</v>
      </c>
      <c r="G83" s="31">
        <v>4</v>
      </c>
      <c r="H83" s="31">
        <v>4</v>
      </c>
      <c r="I83" s="31">
        <v>4</v>
      </c>
      <c r="J83" s="31">
        <v>4</v>
      </c>
      <c r="K83" s="31">
        <v>4</v>
      </c>
      <c r="L83" s="35">
        <v>1</v>
      </c>
      <c r="M83" s="35">
        <v>1</v>
      </c>
      <c r="N83" s="35">
        <v>1</v>
      </c>
      <c r="O83" s="35">
        <v>1</v>
      </c>
      <c r="P83" s="37">
        <f t="shared" si="4"/>
        <v>0.62127052844308761</v>
      </c>
      <c r="Q83" s="36">
        <f t="shared" si="5"/>
        <v>0.50986253764345413</v>
      </c>
      <c r="R83" s="36">
        <f t="shared" si="6"/>
        <v>0.80725215079349244</v>
      </c>
    </row>
    <row r="84" spans="1:18" x14ac:dyDescent="0.3">
      <c r="A84" s="19" t="s">
        <v>81</v>
      </c>
      <c r="B84" s="3">
        <v>4</v>
      </c>
      <c r="C84" s="29">
        <v>6.9823234417591351</v>
      </c>
      <c r="D84" s="29">
        <v>1.8945212068936905</v>
      </c>
      <c r="E84" s="29">
        <v>8.8768446486528259</v>
      </c>
      <c r="F84" s="30">
        <v>16</v>
      </c>
      <c r="G84" s="31">
        <v>2</v>
      </c>
      <c r="H84" s="31">
        <v>0</v>
      </c>
      <c r="I84" s="31">
        <v>0</v>
      </c>
      <c r="J84" s="31">
        <v>8</v>
      </c>
      <c r="K84" s="31">
        <v>8</v>
      </c>
      <c r="L84" s="35">
        <v>0</v>
      </c>
      <c r="M84" s="35">
        <v>0</v>
      </c>
      <c r="N84" s="35">
        <v>1</v>
      </c>
      <c r="O84" s="35">
        <v>1</v>
      </c>
      <c r="P84" s="37">
        <f t="shared" si="4"/>
        <v>0.90212932130885226</v>
      </c>
      <c r="Q84" s="36">
        <f t="shared" si="5"/>
        <v>0.46157673580061781</v>
      </c>
      <c r="R84" s="36">
        <f t="shared" si="6"/>
        <v>0.99461822287223633</v>
      </c>
    </row>
    <row r="85" spans="1:18" x14ac:dyDescent="0.3">
      <c r="A85" s="19" t="s">
        <v>82</v>
      </c>
      <c r="B85" s="3">
        <v>4</v>
      </c>
      <c r="C85" s="29">
        <v>14.047383493881783</v>
      </c>
      <c r="D85" s="29">
        <v>2.6308253059099158</v>
      </c>
      <c r="E85" s="29">
        <v>16.678208799791697</v>
      </c>
      <c r="F85" s="30">
        <v>2</v>
      </c>
      <c r="G85" s="31">
        <v>2</v>
      </c>
      <c r="H85" s="31">
        <v>0</v>
      </c>
      <c r="I85" s="31">
        <v>0</v>
      </c>
      <c r="J85" s="31">
        <v>1</v>
      </c>
      <c r="K85" s="31">
        <v>1</v>
      </c>
      <c r="L85" s="35">
        <v>0</v>
      </c>
      <c r="M85" s="35">
        <v>0</v>
      </c>
      <c r="N85" s="35">
        <v>1</v>
      </c>
      <c r="O85" s="35">
        <v>1</v>
      </c>
      <c r="P85" s="37">
        <f t="shared" si="4"/>
        <v>1.1774609894342669</v>
      </c>
      <c r="Q85" s="36">
        <f t="shared" si="5"/>
        <v>0.56000535370372295</v>
      </c>
      <c r="R85" s="36">
        <f t="shared" si="6"/>
        <v>1.2474382591060742</v>
      </c>
    </row>
    <row r="86" spans="1:18" x14ac:dyDescent="0.3">
      <c r="A86" s="19" t="s">
        <v>83</v>
      </c>
      <c r="B86" s="3">
        <v>4</v>
      </c>
      <c r="C86" s="29">
        <v>2.5628508379136208</v>
      </c>
      <c r="D86" s="29">
        <v>2.1808874918784178</v>
      </c>
      <c r="E86" s="29">
        <v>4.7437383297920395</v>
      </c>
      <c r="F86" s="30">
        <v>4</v>
      </c>
      <c r="G86" s="31">
        <v>1</v>
      </c>
      <c r="H86" s="31">
        <v>0</v>
      </c>
      <c r="I86" s="31">
        <v>0</v>
      </c>
      <c r="J86" s="31">
        <v>4</v>
      </c>
      <c r="K86" s="31">
        <v>0</v>
      </c>
      <c r="L86" s="35">
        <v>0</v>
      </c>
      <c r="M86" s="35">
        <v>0</v>
      </c>
      <c r="N86" s="35">
        <v>1</v>
      </c>
      <c r="O86" s="35">
        <v>0</v>
      </c>
      <c r="P86" s="37">
        <f t="shared" si="4"/>
        <v>0.55179764058647784</v>
      </c>
      <c r="Q86" s="36">
        <f t="shared" si="5"/>
        <v>0.50254830836530684</v>
      </c>
      <c r="R86" s="36">
        <f t="shared" si="6"/>
        <v>0.75919464632547373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SWC</vt:lpstr>
      <vt:lpstr>Concentrations</vt:lpstr>
      <vt:lpstr>Nmin_Div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France</dc:creator>
  <cp:lastModifiedBy>Camilo Maliqueo</cp:lastModifiedBy>
  <dcterms:created xsi:type="dcterms:W3CDTF">2023-10-17T11:07:37Z</dcterms:created>
  <dcterms:modified xsi:type="dcterms:W3CDTF">2025-09-25T09:04:00Z</dcterms:modified>
</cp:coreProperties>
</file>